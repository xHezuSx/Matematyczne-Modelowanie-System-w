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zena\Desktop\zajęcia-zima26\MMS26\lab2NS\"/>
    </mc:Choice>
  </mc:AlternateContent>
  <xr:revisionPtr revIDLastSave="0" documentId="13_ncr:1_{39060FDE-991F-4340-B88F-8AE50C6709DC}" xr6:coauthVersionLast="47" xr6:coauthVersionMax="47" xr10:uidLastSave="{00000000-0000-0000-0000-000000000000}"/>
  <bookViews>
    <workbookView xWindow="-120" yWindow="-120" windowWidth="24240" windowHeight="13140" tabRatio="500" firstSheet="1" activeTab="1" xr2:uid="{00000000-000D-0000-FFFF-FFFF00000000}"/>
  </bookViews>
  <sheets>
    <sheet name="wzory" sheetId="1" r:id="rId1"/>
    <sheet name="przykład-szereg" sheetId="2" r:id="rId2"/>
    <sheet name="przykład- obliczenia paramet" sheetId="3" r:id="rId3"/>
    <sheet name="przykład- mediana i dominanta" sheetId="5" r:id="rId4"/>
    <sheet name="Arkusz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0" i="5" l="1"/>
  <c r="G31" i="5"/>
  <c r="D10" i="5"/>
  <c r="D13" i="5" s="1"/>
  <c r="D19" i="5" s="1"/>
  <c r="D7" i="5"/>
  <c r="D22" i="5" s="1"/>
  <c r="T6" i="5"/>
  <c r="T5" i="5"/>
  <c r="T4" i="5"/>
  <c r="T9" i="5" s="1"/>
  <c r="D4" i="5"/>
  <c r="D16" i="5" s="1"/>
  <c r="T3" i="5"/>
  <c r="U12" i="5" s="1"/>
  <c r="G3" i="5"/>
  <c r="H3" i="5" s="1"/>
  <c r="T15" i="5" l="1"/>
  <c r="G4" i="5"/>
  <c r="H4" i="5" s="1"/>
  <c r="M3" i="5"/>
  <c r="I3" i="5"/>
  <c r="U10" i="5"/>
  <c r="T7" i="5"/>
  <c r="T8" i="5"/>
  <c r="T12" i="5"/>
  <c r="T14" i="5" s="1"/>
  <c r="T10" i="5"/>
  <c r="N3" i="5" l="1"/>
  <c r="T11" i="5"/>
  <c r="G5" i="5"/>
  <c r="H5" i="5" s="1"/>
  <c r="M4" i="5"/>
  <c r="I4" i="5"/>
  <c r="J3" i="5"/>
  <c r="L3" i="5" s="1"/>
  <c r="K3" i="5"/>
  <c r="T13" i="5"/>
  <c r="N4" i="5" l="1"/>
  <c r="G6" i="5"/>
  <c r="H6" i="5" s="1"/>
  <c r="M5" i="5"/>
  <c r="I5" i="5"/>
  <c r="K4" i="5"/>
  <c r="J4" i="5"/>
  <c r="L4" i="5" s="1"/>
  <c r="N5" i="5" l="1"/>
  <c r="G7" i="5"/>
  <c r="H7" i="5" s="1"/>
  <c r="M6" i="5"/>
  <c r="I6" i="5"/>
  <c r="K5" i="5"/>
  <c r="J5" i="5"/>
  <c r="L5" i="5" s="1"/>
  <c r="K6" i="5" l="1"/>
  <c r="J6" i="5"/>
  <c r="L6" i="5" s="1"/>
  <c r="N6" i="5"/>
  <c r="G8" i="5"/>
  <c r="M7" i="5"/>
  <c r="I7" i="5"/>
  <c r="G29" i="5" l="1"/>
  <c r="K7" i="5"/>
  <c r="J7" i="5"/>
  <c r="N7" i="5"/>
  <c r="G37" i="5"/>
  <c r="G27" i="5"/>
  <c r="H8" i="5"/>
  <c r="G9" i="5" l="1"/>
  <c r="H9" i="5" s="1"/>
  <c r="M8" i="5"/>
  <c r="I8" i="5"/>
  <c r="G39" i="5"/>
  <c r="L7" i="5"/>
  <c r="K8" i="5" l="1"/>
  <c r="G28" i="5"/>
  <c r="J8" i="5"/>
  <c r="L8" i="5" s="1"/>
  <c r="G38" i="5"/>
  <c r="G41" i="5" s="1"/>
  <c r="W5" i="5" s="1"/>
  <c r="Z5" i="5" s="1"/>
  <c r="N8" i="5"/>
  <c r="M9" i="5"/>
  <c r="I9" i="5"/>
  <c r="G10" i="5"/>
  <c r="H10" i="5" s="1"/>
  <c r="N9" i="5" l="1"/>
  <c r="K9" i="5"/>
  <c r="J9" i="5"/>
  <c r="L9" i="5" s="1"/>
  <c r="G30" i="5"/>
  <c r="G32" i="5" s="1"/>
  <c r="W6" i="5" s="1"/>
  <c r="Z6" i="5" s="1"/>
  <c r="M10" i="5"/>
  <c r="I10" i="5"/>
  <c r="G11" i="5"/>
  <c r="H11" i="5" s="1"/>
  <c r="K10" i="5" l="1"/>
  <c r="J10" i="5"/>
  <c r="L10" i="5" s="1"/>
  <c r="M11" i="5"/>
  <c r="I11" i="5"/>
  <c r="N10" i="5"/>
  <c r="K11" i="5" l="1"/>
  <c r="J11" i="5"/>
  <c r="L11" i="5" s="1"/>
  <c r="N11" i="5"/>
  <c r="N12" i="5" s="1"/>
  <c r="N13" i="5" s="1"/>
  <c r="W3" i="5" l="1"/>
  <c r="O3" i="5"/>
  <c r="P3" i="5" s="1"/>
  <c r="O4" i="5"/>
  <c r="P4" i="5" s="1"/>
  <c r="O5" i="5"/>
  <c r="P5" i="5" s="1"/>
  <c r="O6" i="5"/>
  <c r="P6" i="5" s="1"/>
  <c r="O7" i="5"/>
  <c r="P7" i="5" s="1"/>
  <c r="O8" i="5"/>
  <c r="P8" i="5" s="1"/>
  <c r="O9" i="5"/>
  <c r="P9" i="5" s="1"/>
  <c r="O10" i="5"/>
  <c r="P10" i="5" s="1"/>
  <c r="O11" i="5"/>
  <c r="P11" i="5" s="1"/>
  <c r="P12" i="5" l="1"/>
  <c r="P13" i="5" s="1"/>
  <c r="P14" i="5" s="1"/>
  <c r="W4" i="5" s="1"/>
  <c r="W8" i="5" s="1"/>
  <c r="Z3" i="5"/>
  <c r="W7" i="5" l="1"/>
  <c r="W9" i="5"/>
  <c r="Z4" i="5"/>
  <c r="D10" i="3" l="1"/>
  <c r="D13" i="3" s="1"/>
  <c r="D19" i="3" s="1"/>
  <c r="D7" i="3"/>
  <c r="D22" i="3" s="1"/>
  <c r="J23" i="3"/>
  <c r="J22" i="3"/>
  <c r="H21" i="3"/>
  <c r="D4" i="3"/>
  <c r="D16" i="3" s="1"/>
  <c r="H20" i="3"/>
  <c r="G3" i="3"/>
  <c r="H3" i="3" s="1"/>
  <c r="H19" i="3"/>
  <c r="G4" i="3" l="1"/>
  <c r="H4" i="3" s="1"/>
  <c r="M3" i="3"/>
  <c r="I3" i="3"/>
  <c r="K3" i="3" l="1"/>
  <c r="J3" i="3"/>
  <c r="L3" i="3" s="1"/>
  <c r="N3" i="3"/>
  <c r="G5" i="3"/>
  <c r="H5" i="3" s="1"/>
  <c r="M4" i="3"/>
  <c r="I4" i="3"/>
  <c r="G3" i="2"/>
  <c r="H3" i="2" s="1"/>
  <c r="I3" i="2" s="1"/>
  <c r="D10" i="2"/>
  <c r="D7" i="2"/>
  <c r="D22" i="2" s="1"/>
  <c r="D4" i="2"/>
  <c r="K4" i="3" l="1"/>
  <c r="J4" i="3"/>
  <c r="L4" i="3" s="1"/>
  <c r="N4" i="3"/>
  <c r="M5" i="3"/>
  <c r="I5" i="3"/>
  <c r="G6" i="3"/>
  <c r="H6" i="3" s="1"/>
  <c r="D16" i="2"/>
  <c r="D13" i="2"/>
  <c r="D19" i="2" s="1"/>
  <c r="G4" i="2"/>
  <c r="H4" i="2" s="1"/>
  <c r="K5" i="3" l="1"/>
  <c r="J5" i="3"/>
  <c r="L5" i="3" s="1"/>
  <c r="N5" i="3"/>
  <c r="M6" i="3"/>
  <c r="I6" i="3"/>
  <c r="G7" i="3"/>
  <c r="H7" i="3" s="1"/>
  <c r="I4" i="2"/>
  <c r="G5" i="2"/>
  <c r="H5" i="2" s="1"/>
  <c r="I5" i="2" s="1"/>
  <c r="K6" i="3" l="1"/>
  <c r="J6" i="3"/>
  <c r="L6" i="3" s="1"/>
  <c r="G8" i="3"/>
  <c r="H8" i="3" s="1"/>
  <c r="M7" i="3"/>
  <c r="I7" i="3"/>
  <c r="N6" i="3"/>
  <c r="G6" i="2"/>
  <c r="H6" i="2" s="1"/>
  <c r="I6" i="2" s="1"/>
  <c r="G9" i="3" l="1"/>
  <c r="H9" i="3" s="1"/>
  <c r="M8" i="3"/>
  <c r="I8" i="3"/>
  <c r="K7" i="3"/>
  <c r="J7" i="3"/>
  <c r="L7" i="3" s="1"/>
  <c r="N7" i="3"/>
  <c r="G7" i="2"/>
  <c r="H7" i="2" s="1"/>
  <c r="I7" i="2" s="1"/>
  <c r="J8" i="3" l="1"/>
  <c r="L8" i="3" s="1"/>
  <c r="K8" i="3"/>
  <c r="N8" i="3"/>
  <c r="G10" i="3"/>
  <c r="H10" i="3" s="1"/>
  <c r="M9" i="3"/>
  <c r="I9" i="3"/>
  <c r="G8" i="2"/>
  <c r="H8" i="2" s="1"/>
  <c r="I8" i="2" s="1"/>
  <c r="K9" i="3" l="1"/>
  <c r="J9" i="3"/>
  <c r="L9" i="3" s="1"/>
  <c r="N9" i="3"/>
  <c r="G11" i="3"/>
  <c r="H11" i="3" s="1"/>
  <c r="G12" i="3" s="1"/>
  <c r="H12" i="3" s="1"/>
  <c r="M10" i="3"/>
  <c r="I10" i="3"/>
  <c r="G9" i="2"/>
  <c r="H9" i="2" s="1"/>
  <c r="I9" i="2" s="1"/>
  <c r="I12" i="3" l="1"/>
  <c r="M12" i="3"/>
  <c r="G13" i="3"/>
  <c r="H13" i="3" s="1"/>
  <c r="J10" i="3"/>
  <c r="L10" i="3" s="1"/>
  <c r="K10" i="3"/>
  <c r="N10" i="3"/>
  <c r="M11" i="3"/>
  <c r="I11" i="3"/>
  <c r="G10" i="2"/>
  <c r="H10" i="2" s="1"/>
  <c r="I10" i="2" s="1"/>
  <c r="I13" i="3" l="1"/>
  <c r="M13" i="3"/>
  <c r="G14" i="3"/>
  <c r="H14" i="3" s="1"/>
  <c r="N12" i="3"/>
  <c r="K12" i="3"/>
  <c r="K11" i="3"/>
  <c r="J11" i="3"/>
  <c r="L11" i="3" s="1"/>
  <c r="N11" i="3"/>
  <c r="G11" i="2"/>
  <c r="H11" i="2" s="1"/>
  <c r="I11" i="2" s="1"/>
  <c r="J12" i="3" l="1"/>
  <c r="L12" i="3" s="1"/>
  <c r="I14" i="3"/>
  <c r="M14" i="3"/>
  <c r="G15" i="3"/>
  <c r="H15" i="3" s="1"/>
  <c r="N13" i="3"/>
  <c r="J13" i="3"/>
  <c r="L13" i="3" s="1"/>
  <c r="K13" i="3"/>
  <c r="K5" i="2"/>
  <c r="K8" i="2"/>
  <c r="K6" i="2"/>
  <c r="K3" i="2"/>
  <c r="J3" i="2"/>
  <c r="L3" i="2" s="1"/>
  <c r="K4" i="2"/>
  <c r="K9" i="2"/>
  <c r="K10" i="2"/>
  <c r="K11" i="2"/>
  <c r="K7" i="2"/>
  <c r="I15" i="3" l="1"/>
  <c r="M15" i="3"/>
  <c r="G16" i="3"/>
  <c r="H16" i="3" s="1"/>
  <c r="N14" i="3"/>
  <c r="K14" i="3"/>
  <c r="J14" i="3"/>
  <c r="L14" i="3" s="1"/>
  <c r="J4" i="2"/>
  <c r="G17" i="3" l="1"/>
  <c r="H17" i="3" s="1"/>
  <c r="I16" i="3"/>
  <c r="M16" i="3"/>
  <c r="N15" i="3"/>
  <c r="J15" i="3"/>
  <c r="L15" i="3" s="1"/>
  <c r="K15" i="3"/>
  <c r="L4" i="2"/>
  <c r="J5" i="2"/>
  <c r="N16" i="3" l="1"/>
  <c r="K16" i="3"/>
  <c r="J16" i="3"/>
  <c r="L16" i="3" s="1"/>
  <c r="I17" i="3"/>
  <c r="M17" i="3"/>
  <c r="L5" i="2"/>
  <c r="J6" i="2"/>
  <c r="N17" i="3" l="1"/>
  <c r="N18" i="3" s="1"/>
  <c r="N19" i="3" s="1"/>
  <c r="O17" i="3"/>
  <c r="P17" i="3" s="1"/>
  <c r="J17" i="3"/>
  <c r="L17" i="3" s="1"/>
  <c r="K17" i="3"/>
  <c r="L6" i="2"/>
  <c r="J7" i="2"/>
  <c r="O12" i="3" l="1"/>
  <c r="P12" i="3" s="1"/>
  <c r="O5" i="3"/>
  <c r="P5" i="3" s="1"/>
  <c r="O9" i="3"/>
  <c r="P9" i="3" s="1"/>
  <c r="O13" i="3"/>
  <c r="P13" i="3" s="1"/>
  <c r="H22" i="3"/>
  <c r="H26" i="3" s="1"/>
  <c r="O6" i="3"/>
  <c r="P6" i="3" s="1"/>
  <c r="O10" i="3"/>
  <c r="P10" i="3" s="1"/>
  <c r="O3" i="3"/>
  <c r="P3" i="3" s="1"/>
  <c r="O7" i="3"/>
  <c r="P7" i="3" s="1"/>
  <c r="O11" i="3"/>
  <c r="P11" i="3" s="1"/>
  <c r="O4" i="3"/>
  <c r="P4" i="3" s="1"/>
  <c r="O8" i="3"/>
  <c r="P8" i="3" s="1"/>
  <c r="O14" i="3"/>
  <c r="P14" i="3" s="1"/>
  <c r="O15" i="3"/>
  <c r="P15" i="3" s="1"/>
  <c r="O16" i="3"/>
  <c r="P16" i="3" s="1"/>
  <c r="P18" i="3"/>
  <c r="P19" i="3" s="1"/>
  <c r="P20" i="3" s="1"/>
  <c r="H23" i="3" s="1"/>
  <c r="H27" i="3" s="1"/>
  <c r="L7" i="2"/>
  <c r="J8" i="2"/>
  <c r="L8" i="2" l="1"/>
  <c r="J9" i="2"/>
  <c r="L9" i="2" l="1"/>
  <c r="J10" i="2"/>
  <c r="L10" i="2" l="1"/>
  <c r="J11" i="2"/>
  <c r="L11" i="2" l="1"/>
</calcChain>
</file>

<file path=xl/sharedStrings.xml><?xml version="1.0" encoding="utf-8"?>
<sst xmlns="http://schemas.openxmlformats.org/spreadsheetml/2006/main" count="159" uniqueCount="90">
  <si>
    <t xml:space="preserve">rozstęp </t>
  </si>
  <si>
    <t>r</t>
  </si>
  <si>
    <t>xmax-xmin</t>
  </si>
  <si>
    <t>liczba danych</t>
  </si>
  <si>
    <t>n</t>
  </si>
  <si>
    <t>liczba klas</t>
  </si>
  <si>
    <t>k</t>
  </si>
  <si>
    <t>w przybliżeniu =pierwiastek(n)</t>
  </si>
  <si>
    <t>długość klasy</t>
  </si>
  <si>
    <t>h</t>
  </si>
  <si>
    <t>w przybliżeniu =r/k</t>
  </si>
  <si>
    <t>poczatek pierwszej klasy (z lewej)</t>
  </si>
  <si>
    <t>x01</t>
  </si>
  <si>
    <t>w przybliżeniu=xmin-h/2</t>
  </si>
  <si>
    <t xml:space="preserve">liczebnosci skumulowane </t>
  </si>
  <si>
    <t>nisk</t>
  </si>
  <si>
    <t>n1+..+ni</t>
  </si>
  <si>
    <t>fi</t>
  </si>
  <si>
    <t>ni/n</t>
  </si>
  <si>
    <t>dystrybuanta empiryczna =częst. skumulowane</t>
  </si>
  <si>
    <t>Fi</t>
  </si>
  <si>
    <t>f1+…+fi lub nisk/n</t>
  </si>
  <si>
    <t>średnia arytmetyczna</t>
  </si>
  <si>
    <t>xi-srodek i-tego przedziału</t>
  </si>
  <si>
    <t>wariancja</t>
  </si>
  <si>
    <t>odchylenie standardowe</t>
  </si>
  <si>
    <t>przedziały grupowania</t>
  </si>
  <si>
    <t>liczebność</t>
  </si>
  <si>
    <t>liczebność skumulowana</t>
  </si>
  <si>
    <t>dystrybuanta empiryczna</t>
  </si>
  <si>
    <t>srodki przedziałow</t>
  </si>
  <si>
    <t>obliczenie średniej</t>
  </si>
  <si>
    <t>obliczenie wariancji</t>
  </si>
  <si>
    <t>Wiek</t>
  </si>
  <si>
    <t>l</t>
  </si>
  <si>
    <t>p</t>
  </si>
  <si>
    <t>ni</t>
  </si>
  <si>
    <t>ni_sk</t>
  </si>
  <si>
    <t>xi</t>
  </si>
  <si>
    <t>xi*ni</t>
  </si>
  <si>
    <t>(xi-xsr)^2</t>
  </si>
  <si>
    <t>ni*(xi-xsr)^2</t>
  </si>
  <si>
    <t>xmin</t>
  </si>
  <si>
    <t>xmax</t>
  </si>
  <si>
    <t>średnia</t>
  </si>
  <si>
    <t>średnia z szeregu</t>
  </si>
  <si>
    <t>h=</t>
  </si>
  <si>
    <t>x01=</t>
  </si>
  <si>
    <t>liczebnośc próby</t>
  </si>
  <si>
    <t>prawdopodobieństwo empiryczne</t>
  </si>
  <si>
    <t>częstości=prawdopodobieństwo empiryczne</t>
  </si>
  <si>
    <t>liczebnosci</t>
  </si>
  <si>
    <t xml:space="preserve">Wartości w poniższych, zielonych polach wpisujemy sami. </t>
  </si>
  <si>
    <t>wys</t>
  </si>
  <si>
    <t>średnia policzona z próby</t>
  </si>
  <si>
    <t>bład oszacowania średniej</t>
  </si>
  <si>
    <t>bład oszacowania odchylenia standardowego</t>
  </si>
  <si>
    <t>odchylenie standardowe z szeregu</t>
  </si>
  <si>
    <t>odchylenie standardowe populacji policzone z próby</t>
  </si>
  <si>
    <t>wyliczenia z próby</t>
  </si>
  <si>
    <t>wyliczenia z szeregu</t>
  </si>
  <si>
    <t>błąd</t>
  </si>
  <si>
    <t>WNIOSKI</t>
  </si>
  <si>
    <t>Uporządkowanie danych w szereg rozdzielczy nie wpłyneło znacznie na wartośc średniej i odchylenia standardowego.</t>
  </si>
  <si>
    <t>mediana</t>
  </si>
  <si>
    <t>mediana z szeregu</t>
  </si>
  <si>
    <t xml:space="preserve">Około połowa dzieci ma wzrost poniżej 146,35 cm. Mediana wyższa od sredniej świadczy  o  asymetrii lewostronnej (czyli o "zaniżeniu" sredniej). To oznacza, że jest pewna grupa dzieci o niskim wzroście. </t>
  </si>
  <si>
    <t>dominanta</t>
  </si>
  <si>
    <t>dominanta z szeregu</t>
  </si>
  <si>
    <t xml:space="preserve">Dominanta z próby ma wartość niższą niż mediana, ale ponieważ wzrost jest cechą ciągła, to ta wartośc nie wskazuje dokłądnie dominanty. Bardziej wiarygodna jest dominanta z szeregu. Dominanta wyższa od średniej i mediany   świadczy  o  asymetrii lewostronnej (czyli o "zaniżeniu" sredniej). To oznacza, że jest pewna grupa dzieci o niskim wzroście.  </t>
  </si>
  <si>
    <t xml:space="preserve">współczynnik asymetrii </t>
  </si>
  <si>
    <t>Ujemny współczynnik asymetrii wskazuje na asymetrie lewostronną, czyli potwierdzają się wnioski powyżej. Róznica wartości tego współczynnika wynika z niedokładnego wyznaczenia dominanty z próby.</t>
  </si>
  <si>
    <t>mieszany współczynnik asymetrii</t>
  </si>
  <si>
    <t>Jak  wyżej ujemny mieszany współczynnik asymetrii wskazuje na asymetrie lewostronną</t>
  </si>
  <si>
    <t>współczynnik zmienności</t>
  </si>
  <si>
    <t xml:space="preserve">Współczynnik zmienności poniżej 5% wskazuje na mała zmienność wzrostu dzieci. </t>
  </si>
  <si>
    <t>typowe 1</t>
  </si>
  <si>
    <t>procent typowe1</t>
  </si>
  <si>
    <t>Procent typowe1 jest blisko 68% co wskazuje na podobienstwo rozkładu wzrostu do rozkłądu normalnego</t>
  </si>
  <si>
    <t>typowe 2</t>
  </si>
  <si>
    <t>procent typowe2</t>
  </si>
  <si>
    <t xml:space="preserve">Podobnie jak wyżej procent typowe2 ( blisko 95,5%) wskazuje na podobienstwo rozkładu wzrostu do rozkładu normalnego.  </t>
  </si>
  <si>
    <t>liczba wartości odstających po prawej strone</t>
  </si>
  <si>
    <t>Więcej wartości odstających po lewej stronie wskazuje na asymetrię lewostronną, ale nieznaczną bo 2 i 1 w stosunku do liczebności 70  są małymi niewiele różniącymi się wartościami.</t>
  </si>
  <si>
    <t>liczba wartości odstających po lewej strone</t>
  </si>
  <si>
    <t>Dominanta</t>
  </si>
  <si>
    <t xml:space="preserve"> </t>
  </si>
  <si>
    <t>D</t>
  </si>
  <si>
    <t xml:space="preserve">Mediana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</si>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</sst>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%"/>
    <numFmt numFmtId="166" formatCode="0.000"/>
    <numFmt numFmtId="167" formatCode="0.0%"/>
  </numFmts>
  <fonts count="10" x14ac:knownFonts="1">
    <font>
      <sz val="9"/>
      <name val="Arial CE"/>
      <charset val="238"/>
    </font>
    <font>
      <sz val="10"/>
      <name val="Arial"/>
      <family val="2"/>
      <charset val="238"/>
    </font>
    <font>
      <sz val="9"/>
      <name val="Arial CE"/>
      <family val="2"/>
      <charset val="238"/>
    </font>
    <font>
      <i/>
      <sz val="9"/>
      <name val="Arial CE"/>
      <charset val="238"/>
    </font>
    <font>
      <b/>
      <sz val="9"/>
      <color rgb="FFFF0000"/>
      <name val="Arial CE"/>
      <charset val="238"/>
    </font>
    <font>
      <sz val="9"/>
      <color rgb="FFFF0000"/>
      <name val="Arial CE"/>
      <charset val="238"/>
    </font>
    <font>
      <sz val="9"/>
      <name val="Arial CE"/>
      <charset val="238"/>
    </font>
    <font>
      <b/>
      <sz val="9"/>
      <name val="Arial CE"/>
      <charset val="238"/>
    </font>
    <font>
      <sz val="14"/>
      <name val="Calibri"/>
      <family val="2"/>
      <charset val="238"/>
    </font>
    <font>
      <b/>
      <sz val="14"/>
      <name val="Arial CE"/>
      <charset val="238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CD5B5"/>
        <bgColor rgb="FFD7E4BD"/>
      </patternFill>
    </fill>
    <fill>
      <patternFill patternType="solid">
        <fgColor rgb="FFD7E4BD"/>
        <bgColor rgb="FFC6D9F1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9" fontId="6" fillId="0" borderId="0" applyFont="0" applyFill="0" applyBorder="0" applyAlignment="0" applyProtection="0"/>
  </cellStyleXfs>
  <cellXfs count="75">
    <xf numFmtId="0" fontId="0" fillId="0" borderId="0" xfId="0"/>
    <xf numFmtId="2" fontId="2" fillId="0" borderId="0" xfId="2" applyNumberFormat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2" fillId="2" borderId="0" xfId="2" applyNumberForma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0" fontId="0" fillId="3" borderId="10" xfId="0" applyFill="1" applyBorder="1"/>
    <xf numFmtId="0" fontId="0" fillId="0" borderId="14" xfId="0" applyBorder="1" applyAlignment="1">
      <alignment horizontal="center" vertical="center" wrapText="1"/>
    </xf>
    <xf numFmtId="0" fontId="5" fillId="0" borderId="0" xfId="0" applyFont="1"/>
    <xf numFmtId="0" fontId="0" fillId="5" borderId="14" xfId="0" applyFill="1" applyBorder="1"/>
    <xf numFmtId="0" fontId="4" fillId="4" borderId="8" xfId="0" applyFont="1" applyFill="1" applyBorder="1" applyAlignment="1">
      <alignment horizontal="center"/>
    </xf>
    <xf numFmtId="2" fontId="0" fillId="0" borderId="0" xfId="0" applyNumberFormat="1"/>
    <xf numFmtId="0" fontId="4" fillId="7" borderId="8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7" fillId="6" borderId="11" xfId="0" applyFont="1" applyFill="1" applyBorder="1"/>
    <xf numFmtId="0" fontId="0" fillId="8" borderId="14" xfId="0" applyFill="1" applyBorder="1"/>
    <xf numFmtId="1" fontId="0" fillId="8" borderId="14" xfId="0" applyNumberFormat="1" applyFill="1" applyBorder="1"/>
    <xf numFmtId="164" fontId="2" fillId="0" borderId="0" xfId="2" applyNumberFormat="1"/>
    <xf numFmtId="0" fontId="0" fillId="9" borderId="15" xfId="0" applyFill="1" applyBorder="1"/>
    <xf numFmtId="2" fontId="0" fillId="10" borderId="14" xfId="0" applyNumberFormat="1" applyFill="1" applyBorder="1"/>
    <xf numFmtId="0" fontId="0" fillId="9" borderId="14" xfId="0" applyFill="1" applyBorder="1"/>
    <xf numFmtId="0" fontId="4" fillId="11" borderId="14" xfId="0" applyFont="1" applyFill="1" applyBorder="1" applyAlignment="1">
      <alignment horizontal="center"/>
    </xf>
    <xf numFmtId="0" fontId="0" fillId="11" borderId="15" xfId="0" applyFill="1" applyBorder="1" applyAlignment="1">
      <alignment horizontal="center" vertical="center"/>
    </xf>
    <xf numFmtId="0" fontId="7" fillId="0" borderId="13" xfId="0" applyFont="1" applyBorder="1"/>
    <xf numFmtId="166" fontId="0" fillId="5" borderId="14" xfId="0" applyNumberFormat="1" applyFill="1" applyBorder="1"/>
    <xf numFmtId="166" fontId="0" fillId="10" borderId="14" xfId="0" applyNumberFormat="1" applyFill="1" applyBorder="1"/>
    <xf numFmtId="0" fontId="0" fillId="11" borderId="14" xfId="0" applyFill="1" applyBorder="1"/>
    <xf numFmtId="1" fontId="0" fillId="11" borderId="14" xfId="0" applyNumberFormat="1" applyFill="1" applyBorder="1"/>
    <xf numFmtId="0" fontId="0" fillId="0" borderId="14" xfId="0" applyBorder="1" applyAlignment="1">
      <alignment horizontal="center" wrapText="1"/>
    </xf>
    <xf numFmtId="9" fontId="5" fillId="0" borderId="14" xfId="3" applyFont="1" applyBorder="1" applyAlignment="1">
      <alignment horizontal="center" vertical="center" wrapText="1"/>
    </xf>
    <xf numFmtId="165" fontId="5" fillId="0" borderId="14" xfId="3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wrapText="1"/>
    </xf>
    <xf numFmtId="0" fontId="0" fillId="12" borderId="14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" fontId="0" fillId="0" borderId="0" xfId="0" applyNumberFormat="1"/>
    <xf numFmtId="0" fontId="0" fillId="0" borderId="14" xfId="0" applyBorder="1" applyAlignment="1">
      <alignment horizontal="center"/>
    </xf>
    <xf numFmtId="166" fontId="0" fillId="12" borderId="14" xfId="0" applyNumberFormat="1" applyFill="1" applyBorder="1" applyAlignment="1">
      <alignment horizontal="center" vertical="center"/>
    </xf>
    <xf numFmtId="166" fontId="0" fillId="13" borderId="14" xfId="0" applyNumberFormat="1" applyFill="1" applyBorder="1" applyAlignment="1">
      <alignment horizontal="center" vertical="center"/>
    </xf>
    <xf numFmtId="10" fontId="0" fillId="0" borderId="14" xfId="3" applyNumberFormat="1" applyFont="1" applyBorder="1"/>
    <xf numFmtId="0" fontId="0" fillId="14" borderId="18" xfId="0" applyFill="1" applyBorder="1" applyAlignment="1">
      <alignment horizontal="center" wrapText="1"/>
    </xf>
    <xf numFmtId="0" fontId="0" fillId="14" borderId="15" xfId="0" applyFill="1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14" borderId="14" xfId="0" applyFill="1" applyBorder="1" applyAlignment="1">
      <alignment wrapText="1"/>
    </xf>
    <xf numFmtId="10" fontId="0" fillId="12" borderId="14" xfId="3" applyNumberFormat="1" applyFont="1" applyFill="1" applyBorder="1" applyAlignment="1">
      <alignment horizontal="center" vertical="center"/>
    </xf>
    <xf numFmtId="167" fontId="0" fillId="13" borderId="14" xfId="3" applyNumberFormat="1" applyFont="1" applyFill="1" applyBorder="1" applyAlignment="1">
      <alignment horizontal="center" vertical="center"/>
    </xf>
    <xf numFmtId="1" fontId="0" fillId="15" borderId="14" xfId="0" applyNumberFormat="1" applyFill="1" applyBorder="1"/>
    <xf numFmtId="0" fontId="0" fillId="15" borderId="14" xfId="0" applyFill="1" applyBorder="1"/>
    <xf numFmtId="0" fontId="1" fillId="0" borderId="14" xfId="0" applyFont="1" applyBorder="1" applyAlignment="1">
      <alignment horizontal="center" vertical="center"/>
    </xf>
    <xf numFmtId="167" fontId="0" fillId="12" borderId="14" xfId="3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7" fontId="0" fillId="12" borderId="18" xfId="3" applyNumberFormat="1" applyFont="1" applyFill="1" applyBorder="1" applyAlignment="1">
      <alignment horizontal="center" vertical="center"/>
    </xf>
    <xf numFmtId="166" fontId="0" fillId="16" borderId="14" xfId="0" applyNumberFormat="1" applyFill="1" applyBorder="1"/>
    <xf numFmtId="0" fontId="0" fillId="0" borderId="14" xfId="0" applyBorder="1"/>
    <xf numFmtId="9" fontId="0" fillId="16" borderId="14" xfId="3" applyFont="1" applyFill="1" applyBorder="1"/>
    <xf numFmtId="0" fontId="0" fillId="16" borderId="14" xfId="0" applyFill="1" applyBorder="1"/>
    <xf numFmtId="0" fontId="0" fillId="14" borderId="14" xfId="0" applyFill="1" applyBorder="1" applyAlignment="1">
      <alignment horizontal="left" wrapText="1"/>
    </xf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</cellXfs>
  <cellStyles count="4">
    <cellStyle name="Normalny" xfId="0" builtinId="0"/>
    <cellStyle name="Normalny 2" xfId="1" xr:uid="{00000000-0005-0000-0000-000001000000}"/>
    <cellStyle name="Normalny_AWF_fem" xfId="2" xr:uid="{00000000-0005-0000-0000-000002000000}"/>
    <cellStyle name="Procentowy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5B3D7"/>
      <rgbColor rgb="FFFF99CC"/>
      <rgbColor rgb="FFCC99FF"/>
      <rgbColor rgb="FFFCD5B5"/>
      <rgbColor rgb="FF4F81BD"/>
      <rgbColor rgb="FF33CCCC"/>
      <rgbColor rgb="FF92D05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400" b="0" strike="noStrike" spc="-1">
                <a:solidFill>
                  <a:srgbClr val="000000"/>
                </a:solidFill>
                <a:latin typeface="Calibri"/>
              </a:rPr>
              <a:t>Histogram liczebności - ni</a:t>
            </a:r>
          </a:p>
        </c:rich>
      </c:tx>
      <c:layout>
        <c:manualLayout>
          <c:xMode val="edge"/>
          <c:yMode val="edge"/>
          <c:x val="0.28978393364220018"/>
          <c:y val="0"/>
        </c:manualLayout>
      </c:layout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'przykład-szereg'!$I$2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'przykład-szereg'!$I$3:$I$11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11</c:v>
                </c:pt>
                <c:pt idx="4">
                  <c:v>10</c:v>
                </c:pt>
                <c:pt idx="5">
                  <c:v>17</c:v>
                </c:pt>
                <c:pt idx="6">
                  <c:v>13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344-4A06-B3A8-4E502D0B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69056"/>
        <c:axId val="133079040"/>
      </c:barChart>
      <c:catAx>
        <c:axId val="13306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079040"/>
        <c:crosses val="autoZero"/>
        <c:auto val="1"/>
        <c:lblAlgn val="ctr"/>
        <c:lblOffset val="100"/>
        <c:noMultiLvlLbl val="1"/>
      </c:catAx>
      <c:valAx>
        <c:axId val="133079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069056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400" b="0" strike="noStrike" spc="-1">
                <a:solidFill>
                  <a:srgbClr val="000000"/>
                </a:solidFill>
                <a:latin typeface="Calibri"/>
              </a:rPr>
              <a:t>Histogram liczebności skumulowanych - ni_sk</a:t>
            </a:r>
          </a:p>
        </c:rich>
      </c:tx>
      <c:layout>
        <c:manualLayout>
          <c:xMode val="edge"/>
          <c:yMode val="edge"/>
          <c:x val="8.306532928941944E-2"/>
          <c:y val="2.0014186501466129E-2"/>
        </c:manualLayout>
      </c:layout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'przykład-szereg'!$J$2:$J$2</c:f>
              <c:strCache>
                <c:ptCount val="1"/>
                <c:pt idx="0">
                  <c:v>ni_sk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'przykład-szereg'!$J$3:$J$11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21</c:v>
                </c:pt>
                <c:pt idx="4">
                  <c:v>31</c:v>
                </c:pt>
                <c:pt idx="5">
                  <c:v>48</c:v>
                </c:pt>
                <c:pt idx="6">
                  <c:v>61</c:v>
                </c:pt>
                <c:pt idx="7">
                  <c:v>68</c:v>
                </c:pt>
                <c:pt idx="8">
                  <c:v>70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5E1-49C1-8216-7838F1EB7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74464"/>
        <c:axId val="132976000"/>
      </c:barChart>
      <c:catAx>
        <c:axId val="13297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976000"/>
        <c:crosses val="autoZero"/>
        <c:auto val="1"/>
        <c:lblAlgn val="ctr"/>
        <c:lblOffset val="100"/>
        <c:noMultiLvlLbl val="1"/>
      </c:catAx>
      <c:valAx>
        <c:axId val="132976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974464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Prawdopodobieństwo empiryczne - </a:t>
            </a:r>
            <a:r>
              <a:rPr lang="en-US"/>
              <a:t>fi</a:t>
            </a:r>
          </a:p>
        </c:rich>
      </c:tx>
      <c:layout>
        <c:manualLayout>
          <c:xMode val="edge"/>
          <c:yMode val="edge"/>
          <c:x val="0.21787853299882534"/>
          <c:y val="6.5811733936480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'przykład-szereg'!$K$2</c:f>
              <c:strCache>
                <c:ptCount val="1"/>
                <c:pt idx="0">
                  <c:v>fi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'przykład-szereg'!$K$3:$K$11</c:f>
              <c:numCache>
                <c:formatCode>General</c:formatCode>
                <c:ptCount val="9"/>
                <c:pt idx="0">
                  <c:v>1.4285714285714285E-2</c:v>
                </c:pt>
                <c:pt idx="1">
                  <c:v>2.8571428571428571E-2</c:v>
                </c:pt>
                <c:pt idx="2">
                  <c:v>0.1</c:v>
                </c:pt>
                <c:pt idx="3">
                  <c:v>0.15714285714285714</c:v>
                </c:pt>
                <c:pt idx="4">
                  <c:v>0.14285714285714285</c:v>
                </c:pt>
                <c:pt idx="5">
                  <c:v>0.24285714285714285</c:v>
                </c:pt>
                <c:pt idx="6">
                  <c:v>0.18571428571428572</c:v>
                </c:pt>
                <c:pt idx="7">
                  <c:v>0.1</c:v>
                </c:pt>
                <c:pt idx="8">
                  <c:v>2.8571428571428571E-2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F11-4FB3-9678-5D6FB23D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54336"/>
        <c:axId val="617052256"/>
      </c:lineChart>
      <c:catAx>
        <c:axId val="61705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2256"/>
        <c:crosses val="autoZero"/>
        <c:auto val="1"/>
        <c:lblAlgn val="ctr"/>
        <c:lblOffset val="100"/>
        <c:noMultiLvlLbl val="0"/>
      </c:catAx>
      <c:valAx>
        <c:axId val="6170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Dystrybuanta empiryczna - F</a:t>
            </a:r>
            <a:r>
              <a:rPr lang="en-US"/>
              <a:t>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'przykład-szereg'!$L$2</c:f>
              <c:strCache>
                <c:ptCount val="1"/>
                <c:pt idx="0">
                  <c:v>Fi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'przykład-szereg'!$L$3:$L$11</c:f>
              <c:numCache>
                <c:formatCode>General</c:formatCode>
                <c:ptCount val="9"/>
                <c:pt idx="0">
                  <c:v>1.4285714285714285E-2</c:v>
                </c:pt>
                <c:pt idx="1">
                  <c:v>4.2857142857142858E-2</c:v>
                </c:pt>
                <c:pt idx="2">
                  <c:v>0.14285714285714285</c:v>
                </c:pt>
                <c:pt idx="3">
                  <c:v>0.3</c:v>
                </c:pt>
                <c:pt idx="4">
                  <c:v>0.44285714285714284</c:v>
                </c:pt>
                <c:pt idx="5">
                  <c:v>0.68571428571428572</c:v>
                </c:pt>
                <c:pt idx="6">
                  <c:v>0.87142857142857144</c:v>
                </c:pt>
                <c:pt idx="7">
                  <c:v>0.97142857142857142</c:v>
                </c:pt>
                <c:pt idx="8">
                  <c:v>1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'przykład-szereg'!#REF!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579-4EC0-BB30-BC99FE96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054336"/>
        <c:axId val="617052256"/>
      </c:lineChart>
      <c:catAx>
        <c:axId val="61705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2256"/>
        <c:crosses val="autoZero"/>
        <c:auto val="1"/>
        <c:lblAlgn val="ctr"/>
        <c:lblOffset val="100"/>
        <c:noMultiLvlLbl val="0"/>
      </c:catAx>
      <c:valAx>
        <c:axId val="61705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5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27469</xdr:colOff>
      <xdr:row>12</xdr:row>
      <xdr:rowOff>115720</xdr:rowOff>
    </xdr:from>
    <xdr:to>
      <xdr:col>3</xdr:col>
      <xdr:colOff>439683</xdr:colOff>
      <xdr:row>16</xdr:row>
      <xdr:rowOff>96640</xdr:rowOff>
    </xdr:to>
    <xdr:pic>
      <xdr:nvPicPr>
        <xdr:cNvPr id="2" name="Object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88666" y="1967058"/>
          <a:ext cx="995788" cy="598033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2849697</xdr:colOff>
      <xdr:row>23</xdr:row>
      <xdr:rowOff>87059</xdr:rowOff>
    </xdr:from>
    <xdr:to>
      <xdr:col>3</xdr:col>
      <xdr:colOff>346623</xdr:colOff>
      <xdr:row>26</xdr:row>
      <xdr:rowOff>8422</xdr:rowOff>
    </xdr:to>
    <xdr:pic>
      <xdr:nvPicPr>
        <xdr:cNvPr id="7" name="Objec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433271" y="3635457"/>
          <a:ext cx="958123" cy="384197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2730053</xdr:colOff>
      <xdr:row>17</xdr:row>
      <xdr:rowOff>114031</xdr:rowOff>
    </xdr:from>
    <xdr:to>
      <xdr:col>5</xdr:col>
      <xdr:colOff>166236</xdr:colOff>
      <xdr:row>22</xdr:row>
      <xdr:rowOff>152771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798407A2-910A-460B-ED5A-40B44C410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627" y="2736760"/>
          <a:ext cx="2064528" cy="810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493507</xdr:colOff>
      <xdr:row>18</xdr:row>
      <xdr:rowOff>47625</xdr:rowOff>
    </xdr:from>
    <xdr:to>
      <xdr:col>11</xdr:col>
      <xdr:colOff>79375</xdr:colOff>
      <xdr:row>30</xdr:row>
      <xdr:rowOff>134938</xdr:rowOff>
    </xdr:to>
    <xdr:graphicFrame macro="">
      <xdr:nvGraphicFramePr>
        <xdr:cNvPr id="7" name="Wykres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478175</xdr:colOff>
      <xdr:row>33</xdr:row>
      <xdr:rowOff>103188</xdr:rowOff>
    </xdr:from>
    <xdr:to>
      <xdr:col>10</xdr:col>
      <xdr:colOff>1016000</xdr:colOff>
      <xdr:row>48</xdr:row>
      <xdr:rowOff>95250</xdr:rowOff>
    </xdr:to>
    <xdr:graphicFrame macro="">
      <xdr:nvGraphicFramePr>
        <xdr:cNvPr id="8" name="Wykres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468312</xdr:colOff>
      <xdr:row>18</xdr:row>
      <xdr:rowOff>7938</xdr:rowOff>
    </xdr:from>
    <xdr:to>
      <xdr:col>13</xdr:col>
      <xdr:colOff>2436812</xdr:colOff>
      <xdr:row>30</xdr:row>
      <xdr:rowOff>55562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D8D0B1-F6E6-F266-524C-4EA481958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468313</xdr:colOff>
      <xdr:row>33</xdr:row>
      <xdr:rowOff>15876</xdr:rowOff>
    </xdr:from>
    <xdr:to>
      <xdr:col>13</xdr:col>
      <xdr:colOff>2500312</xdr:colOff>
      <xdr:row>47</xdr:row>
      <xdr:rowOff>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F10C029-2648-47A3-9E05-6AB16CBB2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25</xdr:row>
      <xdr:rowOff>71437</xdr:rowOff>
    </xdr:from>
    <xdr:to>
      <xdr:col>5</xdr:col>
      <xdr:colOff>533400</xdr:colOff>
      <xdr:row>25</xdr:row>
      <xdr:rowOff>298449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919CFC93-BCD0-49C3-821B-C4AD8035B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5" y="6110287"/>
          <a:ext cx="0" cy="227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365126</xdr:colOff>
      <xdr:row>26</xdr:row>
      <xdr:rowOff>79374</xdr:rowOff>
    </xdr:from>
    <xdr:to>
      <xdr:col>5</xdr:col>
      <xdr:colOff>622301</xdr:colOff>
      <xdr:row>26</xdr:row>
      <xdr:rowOff>306387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3507048-9B6E-47BE-B756-6B7FC3075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7401" y="6451599"/>
          <a:ext cx="0" cy="227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357188</xdr:colOff>
      <xdr:row>27</xdr:row>
      <xdr:rowOff>63500</xdr:rowOff>
    </xdr:from>
    <xdr:to>
      <xdr:col>5</xdr:col>
      <xdr:colOff>547688</xdr:colOff>
      <xdr:row>27</xdr:row>
      <xdr:rowOff>292100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9C56FB9-5E73-4E93-875C-55ED37028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9463" y="6769100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333374</xdr:colOff>
      <xdr:row>28</xdr:row>
      <xdr:rowOff>39688</xdr:rowOff>
    </xdr:from>
    <xdr:to>
      <xdr:col>5</xdr:col>
      <xdr:colOff>695324</xdr:colOff>
      <xdr:row>28</xdr:row>
      <xdr:rowOff>268288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629511D3-F929-4CF5-B13A-45D95CB6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224" y="7078663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301625</xdr:colOff>
      <xdr:row>29</xdr:row>
      <xdr:rowOff>39688</xdr:rowOff>
    </xdr:from>
    <xdr:to>
      <xdr:col>5</xdr:col>
      <xdr:colOff>663575</xdr:colOff>
      <xdr:row>29</xdr:row>
      <xdr:rowOff>268288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916BD435-2BD8-4A39-BF15-29A20276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1050" y="7412038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579436</xdr:colOff>
      <xdr:row>24</xdr:row>
      <xdr:rowOff>150812</xdr:rowOff>
    </xdr:from>
    <xdr:to>
      <xdr:col>12</xdr:col>
      <xdr:colOff>327300</xdr:colOff>
      <xdr:row>26</xdr:row>
      <xdr:rowOff>150811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5C083775-B5E8-4835-A1D4-279BCB64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686" y="6037262"/>
          <a:ext cx="3786464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388937</xdr:colOff>
      <xdr:row>30</xdr:row>
      <xdr:rowOff>39687</xdr:rowOff>
    </xdr:from>
    <xdr:to>
      <xdr:col>5</xdr:col>
      <xdr:colOff>579437</xdr:colOff>
      <xdr:row>30</xdr:row>
      <xdr:rowOff>268287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A72916F0-A76E-4E28-8407-F2216F002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2637" y="7745412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412750</xdr:colOff>
      <xdr:row>35</xdr:row>
      <xdr:rowOff>47625</xdr:rowOff>
    </xdr:from>
    <xdr:to>
      <xdr:col>5</xdr:col>
      <xdr:colOff>565150</xdr:colOff>
      <xdr:row>35</xdr:row>
      <xdr:rowOff>276225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108D44CE-6C7F-454E-8CBB-F854AD107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7400" y="8772525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357188</xdr:colOff>
      <xdr:row>36</xdr:row>
      <xdr:rowOff>23812</xdr:rowOff>
    </xdr:from>
    <xdr:to>
      <xdr:col>5</xdr:col>
      <xdr:colOff>652463</xdr:colOff>
      <xdr:row>36</xdr:row>
      <xdr:rowOff>252412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C625CD2B-67E6-43BA-8658-E81A746F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9463" y="9043987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373063</xdr:colOff>
      <xdr:row>37</xdr:row>
      <xdr:rowOff>31750</xdr:rowOff>
    </xdr:from>
    <xdr:to>
      <xdr:col>5</xdr:col>
      <xdr:colOff>601663</xdr:colOff>
      <xdr:row>37</xdr:row>
      <xdr:rowOff>260350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61B80017-E031-4054-97A5-CDA04E5A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813" y="9347200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261937</xdr:colOff>
      <xdr:row>38</xdr:row>
      <xdr:rowOff>23812</xdr:rowOff>
    </xdr:from>
    <xdr:to>
      <xdr:col>5</xdr:col>
      <xdr:colOff>681037</xdr:colOff>
      <xdr:row>38</xdr:row>
      <xdr:rowOff>252412</xdr:rowOff>
    </xdr:to>
    <xdr:pic>
      <xdr:nvPicPr>
        <xdr:cNvPr id="12" name="Obraz 11">
          <a:extLst>
            <a:ext uri="{FF2B5EF4-FFF2-40B4-BE49-F238E27FC236}">
              <a16:creationId xmlns:a16="http://schemas.microsoft.com/office/drawing/2014/main" id="{1BAC6ED2-E388-43C9-B757-C8D3FF694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8987" y="9634537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373063</xdr:colOff>
      <xdr:row>39</xdr:row>
      <xdr:rowOff>39687</xdr:rowOff>
    </xdr:from>
    <xdr:to>
      <xdr:col>5</xdr:col>
      <xdr:colOff>601663</xdr:colOff>
      <xdr:row>39</xdr:row>
      <xdr:rowOff>268287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F2936546-5690-4CC9-ADF8-8DF3B7A92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813" y="9945687"/>
          <a:ext cx="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579436</xdr:colOff>
      <xdr:row>35</xdr:row>
      <xdr:rowOff>0</xdr:rowOff>
    </xdr:from>
    <xdr:to>
      <xdr:col>11</xdr:col>
      <xdr:colOff>246062</xdr:colOff>
      <xdr:row>37</xdr:row>
      <xdr:rowOff>103290</xdr:rowOff>
    </xdr:to>
    <xdr:pic>
      <xdr:nvPicPr>
        <xdr:cNvPr id="14" name="Obraz 13">
          <a:extLst>
            <a:ext uri="{FF2B5EF4-FFF2-40B4-BE49-F238E27FC236}">
              <a16:creationId xmlns:a16="http://schemas.microsoft.com/office/drawing/2014/main" id="{807A61AD-2C4D-4449-AD01-06192498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4686" y="8724900"/>
          <a:ext cx="2628901" cy="69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topLeftCell="A10" zoomScale="142" zoomScaleNormal="142" workbookViewId="0">
      <selection activeCell="F27" sqref="F27"/>
    </sheetView>
  </sheetViews>
  <sheetFormatPr defaultRowHeight="12" x14ac:dyDescent="0.2"/>
  <cols>
    <col min="1" max="1" width="8.7109375" customWidth="1"/>
    <col min="2" max="2" width="43.140625" customWidth="1"/>
    <col min="3" max="1023" width="8.7109375" customWidth="1"/>
  </cols>
  <sheetData>
    <row r="2" spans="2:7" x14ac:dyDescent="0.2">
      <c r="B2" t="s">
        <v>0</v>
      </c>
      <c r="C2" t="s">
        <v>1</v>
      </c>
      <c r="D2" t="s">
        <v>2</v>
      </c>
    </row>
    <row r="3" spans="2:7" x14ac:dyDescent="0.2">
      <c r="B3" t="s">
        <v>3</v>
      </c>
      <c r="C3" t="s">
        <v>4</v>
      </c>
    </row>
    <row r="4" spans="2:7" x14ac:dyDescent="0.2">
      <c r="B4" t="s">
        <v>5</v>
      </c>
      <c r="C4" t="s">
        <v>6</v>
      </c>
      <c r="D4" t="s">
        <v>7</v>
      </c>
    </row>
    <row r="5" spans="2:7" x14ac:dyDescent="0.2">
      <c r="B5" t="s">
        <v>8</v>
      </c>
      <c r="C5" t="s">
        <v>9</v>
      </c>
      <c r="D5" t="s">
        <v>10</v>
      </c>
    </row>
    <row r="6" spans="2:7" x14ac:dyDescent="0.2">
      <c r="B6" t="s">
        <v>11</v>
      </c>
      <c r="C6" t="s">
        <v>12</v>
      </c>
      <c r="D6" t="s">
        <v>13</v>
      </c>
    </row>
    <row r="7" spans="2:7" x14ac:dyDescent="0.2">
      <c r="B7" t="s">
        <v>51</v>
      </c>
      <c r="C7" t="s">
        <v>36</v>
      </c>
    </row>
    <row r="8" spans="2:7" x14ac:dyDescent="0.2">
      <c r="B8" t="s">
        <v>14</v>
      </c>
      <c r="C8" t="s">
        <v>15</v>
      </c>
      <c r="D8" t="s">
        <v>16</v>
      </c>
    </row>
    <row r="9" spans="2:7" x14ac:dyDescent="0.2">
      <c r="B9" t="s">
        <v>50</v>
      </c>
      <c r="C9" t="s">
        <v>17</v>
      </c>
      <c r="D9" t="s">
        <v>18</v>
      </c>
    </row>
    <row r="10" spans="2:7" x14ac:dyDescent="0.2">
      <c r="B10" t="s">
        <v>19</v>
      </c>
      <c r="C10" t="s">
        <v>20</v>
      </c>
      <c r="D10" t="s">
        <v>21</v>
      </c>
    </row>
    <row r="15" spans="2:7" x14ac:dyDescent="0.2">
      <c r="B15" t="s">
        <v>22</v>
      </c>
      <c r="G15" t="s">
        <v>23</v>
      </c>
    </row>
    <row r="22" spans="2:11" x14ac:dyDescent="0.2">
      <c r="B22" t="s">
        <v>24</v>
      </c>
    </row>
    <row r="26" spans="2:11" x14ac:dyDescent="0.2">
      <c r="B26" t="s">
        <v>25</v>
      </c>
    </row>
    <row r="31" spans="2:11" x14ac:dyDescent="0.2">
      <c r="K31" s="2"/>
    </row>
  </sheetData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"/>
  <sheetViews>
    <sheetView tabSelected="1" topLeftCell="B1" zoomScale="120" zoomScaleNormal="120" workbookViewId="0">
      <selection activeCell="E23" sqref="E23"/>
    </sheetView>
  </sheetViews>
  <sheetFormatPr defaultRowHeight="12" x14ac:dyDescent="0.2"/>
  <cols>
    <col min="1" max="2" width="6.42578125" style="1" bestFit="1" customWidth="1"/>
    <col min="3" max="4" width="8.7109375" customWidth="1"/>
    <col min="5" max="5" width="16.28515625" customWidth="1"/>
    <col min="6" max="6" width="15.140625" customWidth="1"/>
    <col min="7" max="8" width="8.7109375" customWidth="1"/>
    <col min="9" max="9" width="9.7109375" customWidth="1"/>
    <col min="10" max="10" width="10.28515625" customWidth="1"/>
    <col min="11" max="11" width="15.7109375" customWidth="1"/>
    <col min="12" max="12" width="16.140625" customWidth="1"/>
    <col min="13" max="13" width="8.7109375" customWidth="1"/>
    <col min="14" max="14" width="37.5703125" bestFit="1" customWidth="1"/>
    <col min="15" max="15" width="8.7109375" customWidth="1"/>
    <col min="16" max="16" width="34.7109375" bestFit="1" customWidth="1"/>
    <col min="17" max="17" width="8.7109375" customWidth="1"/>
    <col min="18" max="18" width="43" customWidth="1"/>
    <col min="19" max="999" width="8.7109375" customWidth="1"/>
  </cols>
  <sheetData>
    <row r="1" spans="1:12" ht="36" x14ac:dyDescent="0.2">
      <c r="F1" s="21"/>
      <c r="G1" s="41" t="s">
        <v>26</v>
      </c>
      <c r="H1" s="41"/>
      <c r="I1" s="3" t="s">
        <v>27</v>
      </c>
      <c r="J1" s="4" t="s">
        <v>28</v>
      </c>
      <c r="K1" s="4" t="s">
        <v>49</v>
      </c>
      <c r="L1" s="5" t="s">
        <v>29</v>
      </c>
    </row>
    <row r="2" spans="1:12" ht="12.75" thickBot="1" x14ac:dyDescent="0.25">
      <c r="A2" s="6" t="s">
        <v>33</v>
      </c>
      <c r="B2" s="6" t="s">
        <v>53</v>
      </c>
      <c r="F2" s="21"/>
      <c r="G2" s="7" t="s">
        <v>34</v>
      </c>
      <c r="H2" s="8" t="s">
        <v>35</v>
      </c>
      <c r="I2" s="9" t="s">
        <v>36</v>
      </c>
      <c r="J2" s="9" t="s">
        <v>37</v>
      </c>
      <c r="K2" s="9" t="s">
        <v>17</v>
      </c>
      <c r="L2" s="7" t="s">
        <v>20</v>
      </c>
    </row>
    <row r="3" spans="1:12" x14ac:dyDescent="0.2">
      <c r="A3" s="1">
        <v>10.52</v>
      </c>
      <c r="B3" s="27">
        <v>142.19999999999999</v>
      </c>
      <c r="D3" s="11" t="s">
        <v>4</v>
      </c>
      <c r="F3" s="21"/>
      <c r="G3" s="25">
        <f>E22</f>
        <v>128</v>
      </c>
      <c r="H3" s="25">
        <f t="shared" ref="H3:H11" si="0">G3+$E$19</f>
        <v>131.5</v>
      </c>
      <c r="I3" s="26">
        <f>COUNTIF(B:B,"&lt;="&amp;H3)-COUNTIF(B:B,"&lt;="&amp;G3)</f>
        <v>1</v>
      </c>
      <c r="J3" s="25">
        <f>I3</f>
        <v>1</v>
      </c>
      <c r="K3" s="25">
        <f t="shared" ref="K3:K11" si="1">I3/$D$4</f>
        <v>1.4285714285714285E-2</v>
      </c>
      <c r="L3" s="25">
        <f t="shared" ref="L3:L11" si="2">J3/$D$4</f>
        <v>1.4285714285714285E-2</v>
      </c>
    </row>
    <row r="4" spans="1:12" ht="12.75" thickBot="1" x14ac:dyDescent="0.25">
      <c r="A4" s="1">
        <v>10.53</v>
      </c>
      <c r="B4" s="27">
        <v>138.9</v>
      </c>
      <c r="D4" s="14">
        <f>COUNT(B3:B126)</f>
        <v>70</v>
      </c>
      <c r="F4" s="21"/>
      <c r="G4" s="25">
        <f t="shared" ref="G4:G11" si="3">H3</f>
        <v>131.5</v>
      </c>
      <c r="H4" s="25">
        <f t="shared" si="0"/>
        <v>135</v>
      </c>
      <c r="I4" s="26">
        <f t="shared" ref="I4:I11" si="4">COUNTIF(B:B,"&lt;="&amp;H4)-COUNTIF(B:B,"&lt;="&amp;G4)</f>
        <v>2</v>
      </c>
      <c r="J4" s="25">
        <f t="shared" ref="J4:J11" si="5">I4+J3</f>
        <v>3</v>
      </c>
      <c r="K4" s="25">
        <f t="shared" si="1"/>
        <v>2.8571428571428571E-2</v>
      </c>
      <c r="L4" s="25">
        <f t="shared" si="2"/>
        <v>4.2857142857142858E-2</v>
      </c>
    </row>
    <row r="5" spans="1:12" ht="12.75" thickBot="1" x14ac:dyDescent="0.25">
      <c r="A5" s="1">
        <v>10.53</v>
      </c>
      <c r="B5" s="27">
        <v>140.30000000000001</v>
      </c>
      <c r="F5" s="21"/>
      <c r="G5" s="25">
        <f t="shared" si="3"/>
        <v>135</v>
      </c>
      <c r="H5" s="25">
        <f t="shared" si="0"/>
        <v>138.5</v>
      </c>
      <c r="I5" s="26">
        <f t="shared" si="4"/>
        <v>7</v>
      </c>
      <c r="J5" s="25">
        <f t="shared" si="5"/>
        <v>10</v>
      </c>
      <c r="K5" s="25">
        <f t="shared" si="1"/>
        <v>0.1</v>
      </c>
      <c r="L5" s="25">
        <f t="shared" si="2"/>
        <v>0.14285714285714285</v>
      </c>
    </row>
    <row r="6" spans="1:12" x14ac:dyDescent="0.2">
      <c r="A6" s="1">
        <v>10.53</v>
      </c>
      <c r="B6" s="27">
        <v>137.4</v>
      </c>
      <c r="D6" s="11" t="s">
        <v>42</v>
      </c>
      <c r="F6" s="21"/>
      <c r="G6" s="25">
        <f t="shared" si="3"/>
        <v>138.5</v>
      </c>
      <c r="H6" s="25">
        <f t="shared" si="0"/>
        <v>142</v>
      </c>
      <c r="I6" s="26">
        <f t="shared" si="4"/>
        <v>11</v>
      </c>
      <c r="J6" s="25">
        <f t="shared" si="5"/>
        <v>21</v>
      </c>
      <c r="K6" s="25">
        <f t="shared" si="1"/>
        <v>0.15714285714285714</v>
      </c>
      <c r="L6" s="25">
        <f t="shared" si="2"/>
        <v>0.3</v>
      </c>
    </row>
    <row r="7" spans="1:12" ht="12.75" thickBot="1" x14ac:dyDescent="0.25">
      <c r="A7" s="1">
        <v>10.53</v>
      </c>
      <c r="B7" s="27">
        <v>143.1</v>
      </c>
      <c r="D7" s="15">
        <f>MIN(B3:B126)</f>
        <v>129.80000000000001</v>
      </c>
      <c r="F7" s="21"/>
      <c r="G7" s="25">
        <f t="shared" si="3"/>
        <v>142</v>
      </c>
      <c r="H7" s="25">
        <f t="shared" si="0"/>
        <v>145.5</v>
      </c>
      <c r="I7" s="26">
        <f t="shared" si="4"/>
        <v>10</v>
      </c>
      <c r="J7" s="25">
        <f t="shared" si="5"/>
        <v>31</v>
      </c>
      <c r="K7" s="25">
        <f t="shared" si="1"/>
        <v>0.14285714285714285</v>
      </c>
      <c r="L7" s="25">
        <f t="shared" si="2"/>
        <v>0.44285714285714284</v>
      </c>
    </row>
    <row r="8" spans="1:12" ht="12.75" thickBot="1" x14ac:dyDescent="0.25">
      <c r="A8" s="1">
        <v>10.54</v>
      </c>
      <c r="B8" s="27">
        <v>133.6</v>
      </c>
      <c r="F8" s="21"/>
      <c r="G8" s="25">
        <f t="shared" si="3"/>
        <v>145.5</v>
      </c>
      <c r="H8" s="25">
        <f t="shared" si="0"/>
        <v>149</v>
      </c>
      <c r="I8" s="26">
        <f t="shared" si="4"/>
        <v>17</v>
      </c>
      <c r="J8" s="25">
        <f t="shared" si="5"/>
        <v>48</v>
      </c>
      <c r="K8" s="25">
        <f t="shared" si="1"/>
        <v>0.24285714285714285</v>
      </c>
      <c r="L8" s="25">
        <f t="shared" si="2"/>
        <v>0.68571428571428572</v>
      </c>
    </row>
    <row r="9" spans="1:12" x14ac:dyDescent="0.2">
      <c r="A9" s="1">
        <v>10.54</v>
      </c>
      <c r="B9" s="27">
        <v>141.80000000000001</v>
      </c>
      <c r="D9" s="11" t="s">
        <v>43</v>
      </c>
      <c r="F9" s="21"/>
      <c r="G9" s="25">
        <f t="shared" si="3"/>
        <v>149</v>
      </c>
      <c r="H9" s="25">
        <f t="shared" si="0"/>
        <v>152.5</v>
      </c>
      <c r="I9" s="26">
        <f t="shared" si="4"/>
        <v>13</v>
      </c>
      <c r="J9" s="25">
        <f t="shared" si="5"/>
        <v>61</v>
      </c>
      <c r="K9" s="25">
        <f t="shared" si="1"/>
        <v>0.18571428571428572</v>
      </c>
      <c r="L9" s="25">
        <f t="shared" si="2"/>
        <v>0.87142857142857144</v>
      </c>
    </row>
    <row r="10" spans="1:12" ht="12.75" thickBot="1" x14ac:dyDescent="0.25">
      <c r="A10" s="1">
        <v>10.56</v>
      </c>
      <c r="B10" s="27">
        <v>137.5</v>
      </c>
      <c r="D10" s="15">
        <f>MAX(B3:B126)</f>
        <v>158.19999999999999</v>
      </c>
      <c r="F10" s="21"/>
      <c r="G10" s="25">
        <f t="shared" si="3"/>
        <v>152.5</v>
      </c>
      <c r="H10" s="25">
        <f t="shared" si="0"/>
        <v>156</v>
      </c>
      <c r="I10" s="26">
        <f t="shared" si="4"/>
        <v>7</v>
      </c>
      <c r="J10" s="25">
        <f t="shared" si="5"/>
        <v>68</v>
      </c>
      <c r="K10" s="25">
        <f t="shared" si="1"/>
        <v>0.1</v>
      </c>
      <c r="L10" s="25">
        <f t="shared" si="2"/>
        <v>0.97142857142857142</v>
      </c>
    </row>
    <row r="11" spans="1:12" ht="12.75" thickBot="1" x14ac:dyDescent="0.25">
      <c r="A11" s="1">
        <v>10.56</v>
      </c>
      <c r="B11" s="27">
        <v>154.5</v>
      </c>
      <c r="E11" s="42" t="s">
        <v>52</v>
      </c>
      <c r="F11" s="21"/>
      <c r="G11" s="25">
        <f t="shared" si="3"/>
        <v>156</v>
      </c>
      <c r="H11" s="25">
        <f t="shared" si="0"/>
        <v>159.5</v>
      </c>
      <c r="I11" s="26">
        <f t="shared" si="4"/>
        <v>2</v>
      </c>
      <c r="J11" s="25">
        <f t="shared" si="5"/>
        <v>70</v>
      </c>
      <c r="K11" s="25">
        <f t="shared" si="1"/>
        <v>2.8571428571428571E-2</v>
      </c>
      <c r="L11" s="25">
        <f t="shared" si="2"/>
        <v>1</v>
      </c>
    </row>
    <row r="12" spans="1:12" ht="12.75" thickBot="1" x14ac:dyDescent="0.25">
      <c r="A12" s="1">
        <v>10.56</v>
      </c>
      <c r="B12" s="27">
        <v>148.6</v>
      </c>
      <c r="D12" s="11" t="s">
        <v>1</v>
      </c>
      <c r="E12" s="42"/>
      <c r="F12" s="21"/>
    </row>
    <row r="13" spans="1:12" ht="12.75" thickBot="1" x14ac:dyDescent="0.25">
      <c r="A13" s="1">
        <v>10.57</v>
      </c>
      <c r="B13" s="27">
        <v>146</v>
      </c>
      <c r="D13" s="15">
        <f>D10-D7</f>
        <v>28.399999999999977</v>
      </c>
      <c r="E13" s="42"/>
      <c r="F13" s="21"/>
    </row>
    <row r="14" spans="1:12" ht="12.75" thickBot="1" x14ac:dyDescent="0.25">
      <c r="A14" s="1">
        <v>10.57</v>
      </c>
      <c r="B14" s="27">
        <v>146.5</v>
      </c>
      <c r="E14" s="42"/>
      <c r="F14" s="21"/>
    </row>
    <row r="15" spans="1:12" ht="12.75" thickBot="1" x14ac:dyDescent="0.25">
      <c r="A15" s="1">
        <v>10.58</v>
      </c>
      <c r="B15" s="27">
        <v>136.69999999999999</v>
      </c>
      <c r="D15" s="11" t="s">
        <v>6</v>
      </c>
      <c r="E15" s="42"/>
      <c r="F15" s="21"/>
    </row>
    <row r="16" spans="1:12" ht="12.75" thickBot="1" x14ac:dyDescent="0.25">
      <c r="A16" s="1">
        <v>10.58</v>
      </c>
      <c r="B16" s="27">
        <v>146.19999999999999</v>
      </c>
      <c r="D16" s="14">
        <f>SQRT(D4)</f>
        <v>8.3666002653407556</v>
      </c>
      <c r="E16" s="20">
        <v>8</v>
      </c>
    </row>
    <row r="17" spans="1:5" ht="12.75" thickBot="1" x14ac:dyDescent="0.25">
      <c r="A17" s="1">
        <v>10.58</v>
      </c>
      <c r="B17" s="27">
        <v>149.6</v>
      </c>
      <c r="E17" s="12"/>
    </row>
    <row r="18" spans="1:5" x14ac:dyDescent="0.2">
      <c r="A18" s="1">
        <v>10.58</v>
      </c>
      <c r="B18" s="27">
        <v>133</v>
      </c>
      <c r="D18" s="11" t="s">
        <v>9</v>
      </c>
      <c r="E18" s="12"/>
    </row>
    <row r="19" spans="1:5" ht="12.75" thickBot="1" x14ac:dyDescent="0.25">
      <c r="A19" s="1">
        <v>10.61</v>
      </c>
      <c r="B19" s="27">
        <v>151.19999999999999</v>
      </c>
      <c r="D19" s="14">
        <f>D13/E16</f>
        <v>3.5499999999999972</v>
      </c>
      <c r="E19" s="22">
        <v>3.5</v>
      </c>
    </row>
    <row r="20" spans="1:5" ht="12.75" thickBot="1" x14ac:dyDescent="0.25">
      <c r="A20" s="1">
        <v>10.61</v>
      </c>
      <c r="B20" s="27">
        <v>146</v>
      </c>
      <c r="E20" s="12"/>
    </row>
    <row r="21" spans="1:5" x14ac:dyDescent="0.2">
      <c r="A21" s="1">
        <v>10.64</v>
      </c>
      <c r="B21" s="27">
        <v>147</v>
      </c>
      <c r="D21" s="11" t="s">
        <v>12</v>
      </c>
      <c r="E21" s="12"/>
    </row>
    <row r="22" spans="1:5" ht="12.75" thickBot="1" x14ac:dyDescent="0.25">
      <c r="A22" s="1">
        <v>10.64</v>
      </c>
      <c r="B22" s="27">
        <v>143.4</v>
      </c>
      <c r="D22" s="16">
        <f>D7-(E19/2)</f>
        <v>128.05000000000001</v>
      </c>
      <c r="E22" s="23">
        <v>128</v>
      </c>
    </row>
    <row r="23" spans="1:5" x14ac:dyDescent="0.2">
      <c r="A23" s="1">
        <v>10.64</v>
      </c>
      <c r="B23" s="27">
        <v>142</v>
      </c>
    </row>
    <row r="24" spans="1:5" x14ac:dyDescent="0.2">
      <c r="A24" s="1">
        <v>10.64</v>
      </c>
      <c r="B24" s="27">
        <v>147.30000000000001</v>
      </c>
    </row>
    <row r="25" spans="1:5" x14ac:dyDescent="0.2">
      <c r="A25" s="1">
        <v>10.65</v>
      </c>
      <c r="B25" s="27">
        <v>139.5</v>
      </c>
    </row>
    <row r="26" spans="1:5" x14ac:dyDescent="0.2">
      <c r="A26" s="1">
        <v>10.65</v>
      </c>
      <c r="B26" s="27">
        <v>137.19999999999999</v>
      </c>
    </row>
    <row r="27" spans="1:5" x14ac:dyDescent="0.2">
      <c r="A27" s="1">
        <v>10.67</v>
      </c>
      <c r="B27" s="27">
        <v>146.6</v>
      </c>
    </row>
    <row r="28" spans="1:5" x14ac:dyDescent="0.2">
      <c r="A28" s="1">
        <v>10.67</v>
      </c>
      <c r="B28" s="27">
        <v>156</v>
      </c>
    </row>
    <row r="29" spans="1:5" x14ac:dyDescent="0.2">
      <c r="A29" s="1">
        <v>10.68</v>
      </c>
      <c r="B29" s="27">
        <v>141.4</v>
      </c>
    </row>
    <row r="30" spans="1:5" x14ac:dyDescent="0.2">
      <c r="A30" s="1">
        <v>10.69</v>
      </c>
      <c r="B30" s="27">
        <v>135.5</v>
      </c>
    </row>
    <row r="31" spans="1:5" x14ac:dyDescent="0.2">
      <c r="A31" s="1">
        <v>10.7</v>
      </c>
      <c r="B31" s="27">
        <v>142.1</v>
      </c>
    </row>
    <row r="32" spans="1:5" x14ac:dyDescent="0.2">
      <c r="A32" s="1">
        <v>10.71</v>
      </c>
      <c r="B32" s="27">
        <v>142.69999999999999</v>
      </c>
    </row>
    <row r="33" spans="1:2" x14ac:dyDescent="0.2">
      <c r="A33" s="1">
        <v>10.72</v>
      </c>
      <c r="B33" s="27">
        <v>149.6</v>
      </c>
    </row>
    <row r="34" spans="1:2" x14ac:dyDescent="0.2">
      <c r="A34" s="1">
        <v>10.72</v>
      </c>
      <c r="B34" s="27">
        <v>141.19999999999999</v>
      </c>
    </row>
    <row r="35" spans="1:2" x14ac:dyDescent="0.2">
      <c r="A35" s="1">
        <v>10.73</v>
      </c>
      <c r="B35" s="27">
        <v>139.1</v>
      </c>
    </row>
    <row r="36" spans="1:2" x14ac:dyDescent="0.2">
      <c r="A36" s="1">
        <v>10.73</v>
      </c>
      <c r="B36" s="27">
        <v>147.1</v>
      </c>
    </row>
    <row r="37" spans="1:2" x14ac:dyDescent="0.2">
      <c r="A37" s="1">
        <v>10.73</v>
      </c>
      <c r="B37" s="27">
        <v>140.4</v>
      </c>
    </row>
    <row r="38" spans="1:2" x14ac:dyDescent="0.2">
      <c r="A38" s="1">
        <v>10.74</v>
      </c>
      <c r="B38" s="27">
        <v>150.4</v>
      </c>
    </row>
    <row r="39" spans="1:2" x14ac:dyDescent="0.2">
      <c r="A39" s="1">
        <v>10.74</v>
      </c>
      <c r="B39" s="27">
        <v>145.30000000000001</v>
      </c>
    </row>
    <row r="40" spans="1:2" x14ac:dyDescent="0.2">
      <c r="A40" s="1">
        <v>10.74</v>
      </c>
      <c r="B40" s="27">
        <v>149.9</v>
      </c>
    </row>
    <row r="41" spans="1:2" x14ac:dyDescent="0.2">
      <c r="A41" s="1">
        <v>10.75</v>
      </c>
      <c r="B41" s="27">
        <v>150.80000000000001</v>
      </c>
    </row>
    <row r="42" spans="1:2" x14ac:dyDescent="0.2">
      <c r="A42" s="1">
        <v>10.78</v>
      </c>
      <c r="B42" s="27">
        <v>149.30000000000001</v>
      </c>
    </row>
    <row r="43" spans="1:2" x14ac:dyDescent="0.2">
      <c r="A43" s="1">
        <v>10.78</v>
      </c>
      <c r="B43" s="27">
        <v>150.30000000000001</v>
      </c>
    </row>
    <row r="44" spans="1:2" x14ac:dyDescent="0.2">
      <c r="A44" s="1">
        <v>10.8</v>
      </c>
      <c r="B44" s="27">
        <v>151.80000000000001</v>
      </c>
    </row>
    <row r="45" spans="1:2" x14ac:dyDescent="0.2">
      <c r="A45" s="1">
        <v>10.8</v>
      </c>
      <c r="B45" s="27">
        <v>142.4</v>
      </c>
    </row>
    <row r="46" spans="1:2" x14ac:dyDescent="0.2">
      <c r="A46" s="1">
        <v>10.8</v>
      </c>
      <c r="B46" s="27">
        <v>141.80000000000001</v>
      </c>
    </row>
    <row r="47" spans="1:2" x14ac:dyDescent="0.2">
      <c r="A47" s="1">
        <v>10.81</v>
      </c>
      <c r="B47" s="27">
        <v>157</v>
      </c>
    </row>
    <row r="48" spans="1:2" x14ac:dyDescent="0.2">
      <c r="A48" s="1">
        <v>10.81</v>
      </c>
      <c r="B48" s="27">
        <v>153.1</v>
      </c>
    </row>
    <row r="49" spans="1:2" x14ac:dyDescent="0.2">
      <c r="A49" s="1">
        <v>10.82</v>
      </c>
      <c r="B49" s="27">
        <v>129.80000000000001</v>
      </c>
    </row>
    <row r="50" spans="1:2" x14ac:dyDescent="0.2">
      <c r="A50" s="1">
        <v>10.82</v>
      </c>
      <c r="B50" s="27">
        <v>151.5</v>
      </c>
    </row>
    <row r="51" spans="1:2" x14ac:dyDescent="0.2">
      <c r="A51" s="1">
        <v>10.84</v>
      </c>
      <c r="B51" s="27">
        <v>155.19999999999999</v>
      </c>
    </row>
    <row r="52" spans="1:2" x14ac:dyDescent="0.2">
      <c r="A52" s="1">
        <v>10.86</v>
      </c>
      <c r="B52" s="27">
        <v>152.80000000000001</v>
      </c>
    </row>
    <row r="53" spans="1:2" x14ac:dyDescent="0.2">
      <c r="A53" s="1">
        <v>10.86</v>
      </c>
      <c r="B53" s="27">
        <v>146</v>
      </c>
    </row>
    <row r="54" spans="1:2" x14ac:dyDescent="0.2">
      <c r="A54" s="1">
        <v>10.87</v>
      </c>
      <c r="B54" s="27">
        <v>155.9</v>
      </c>
    </row>
    <row r="55" spans="1:2" x14ac:dyDescent="0.2">
      <c r="A55" s="1">
        <v>10.88</v>
      </c>
      <c r="B55" s="27">
        <v>147.5</v>
      </c>
    </row>
    <row r="56" spans="1:2" x14ac:dyDescent="0.2">
      <c r="A56" s="1">
        <v>10.88</v>
      </c>
      <c r="B56" s="27">
        <v>147.5</v>
      </c>
    </row>
    <row r="57" spans="1:2" x14ac:dyDescent="0.2">
      <c r="A57" s="1">
        <v>10.89</v>
      </c>
      <c r="B57" s="27">
        <v>148.69999999999999</v>
      </c>
    </row>
    <row r="58" spans="1:2" x14ac:dyDescent="0.2">
      <c r="A58" s="1">
        <v>10.89</v>
      </c>
      <c r="B58" s="27">
        <v>146.80000000000001</v>
      </c>
    </row>
    <row r="59" spans="1:2" x14ac:dyDescent="0.2">
      <c r="A59" s="1">
        <v>10.9</v>
      </c>
      <c r="B59" s="27">
        <v>148.69999999999999</v>
      </c>
    </row>
    <row r="60" spans="1:2" x14ac:dyDescent="0.2">
      <c r="A60" s="1">
        <v>10.91</v>
      </c>
      <c r="B60" s="27">
        <v>139.19999999999999</v>
      </c>
    </row>
    <row r="61" spans="1:2" x14ac:dyDescent="0.2">
      <c r="A61" s="1">
        <v>10.91</v>
      </c>
      <c r="B61" s="27">
        <v>137.5</v>
      </c>
    </row>
    <row r="62" spans="1:2" x14ac:dyDescent="0.2">
      <c r="A62" s="1">
        <v>10.92</v>
      </c>
      <c r="B62" s="27">
        <v>150.69999999999999</v>
      </c>
    </row>
    <row r="63" spans="1:2" x14ac:dyDescent="0.2">
      <c r="A63" s="1">
        <v>10.93</v>
      </c>
      <c r="B63" s="27">
        <v>144.80000000000001</v>
      </c>
    </row>
    <row r="64" spans="1:2" x14ac:dyDescent="0.2">
      <c r="A64" s="1">
        <v>10.94</v>
      </c>
      <c r="B64" s="27">
        <v>151.19999999999999</v>
      </c>
    </row>
    <row r="65" spans="1:2" x14ac:dyDescent="0.2">
      <c r="A65" s="1">
        <v>10.95</v>
      </c>
      <c r="B65" s="27">
        <v>143</v>
      </c>
    </row>
    <row r="66" spans="1:2" x14ac:dyDescent="0.2">
      <c r="A66" s="1">
        <v>10.95</v>
      </c>
      <c r="B66" s="27">
        <v>151.1</v>
      </c>
    </row>
    <row r="67" spans="1:2" x14ac:dyDescent="0.2">
      <c r="A67" s="1">
        <v>10.96</v>
      </c>
      <c r="B67" s="27">
        <v>148.69999999999999</v>
      </c>
    </row>
    <row r="68" spans="1:2" x14ac:dyDescent="0.2">
      <c r="A68" s="1">
        <v>10.97</v>
      </c>
      <c r="B68" s="27">
        <v>144</v>
      </c>
    </row>
    <row r="69" spans="1:2" x14ac:dyDescent="0.2">
      <c r="A69" s="1">
        <v>10.97</v>
      </c>
      <c r="B69" s="27">
        <v>152.80000000000001</v>
      </c>
    </row>
    <row r="70" spans="1:2" x14ac:dyDescent="0.2">
      <c r="A70" s="1">
        <v>10.98</v>
      </c>
      <c r="B70" s="27">
        <v>148.5</v>
      </c>
    </row>
    <row r="71" spans="1:2" x14ac:dyDescent="0.2">
      <c r="A71" s="1">
        <v>10.98</v>
      </c>
      <c r="B71" s="27">
        <v>137.4</v>
      </c>
    </row>
    <row r="72" spans="1:2" x14ac:dyDescent="0.2">
      <c r="A72" s="1">
        <v>10.99</v>
      </c>
      <c r="B72" s="27">
        <v>158.19999999999999</v>
      </c>
    </row>
  </sheetData>
  <mergeCells count="2">
    <mergeCell ref="G1:H1"/>
    <mergeCell ref="E11:E15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A78-DFFB-49E1-BF7C-ACCAC93BB336}">
  <dimension ref="A1:Z72"/>
  <sheetViews>
    <sheetView topLeftCell="C10" zoomScale="120" zoomScaleNormal="120" workbookViewId="0">
      <selection activeCell="E20" sqref="E20"/>
    </sheetView>
  </sheetViews>
  <sheetFormatPr defaultRowHeight="12" x14ac:dyDescent="0.2"/>
  <cols>
    <col min="1" max="2" width="6.42578125" style="1" bestFit="1" customWidth="1"/>
    <col min="3" max="4" width="8.7109375" customWidth="1"/>
    <col min="5" max="5" width="16.28515625" customWidth="1"/>
    <col min="6" max="6" width="15.140625" customWidth="1"/>
    <col min="7" max="7" width="13.28515625" customWidth="1"/>
    <col min="8" max="8" width="12" customWidth="1"/>
    <col min="9" max="9" width="13.85546875" customWidth="1"/>
    <col min="10" max="10" width="10.140625" bestFit="1" customWidth="1"/>
    <col min="11" max="11" width="12.5703125" customWidth="1"/>
    <col min="12" max="12" width="12" bestFit="1" customWidth="1"/>
    <col min="13" max="13" width="11.85546875" customWidth="1"/>
    <col min="14" max="14" width="9.42578125" bestFit="1" customWidth="1"/>
    <col min="15" max="15" width="13.7109375" customWidth="1"/>
    <col min="16" max="16" width="12" bestFit="1" customWidth="1"/>
    <col min="17" max="17" width="8.7109375" customWidth="1"/>
    <col min="18" max="18" width="37.5703125" bestFit="1" customWidth="1"/>
    <col min="19" max="19" width="8.7109375" customWidth="1"/>
    <col min="20" max="20" width="42.5703125" bestFit="1" customWidth="1"/>
    <col min="21" max="21" width="8.7109375" customWidth="1"/>
    <col min="22" max="22" width="43" customWidth="1"/>
    <col min="23" max="23" width="32.28515625" customWidth="1"/>
    <col min="24" max="1011" width="8.7109375" customWidth="1"/>
  </cols>
  <sheetData>
    <row r="1" spans="1:26" ht="36" x14ac:dyDescent="0.2">
      <c r="F1" s="21"/>
      <c r="G1" s="41" t="s">
        <v>26</v>
      </c>
      <c r="H1" s="41"/>
      <c r="I1" s="3" t="s">
        <v>27</v>
      </c>
      <c r="J1" s="4" t="s">
        <v>28</v>
      </c>
      <c r="K1" s="4" t="s">
        <v>49</v>
      </c>
      <c r="L1" s="5" t="s">
        <v>29</v>
      </c>
      <c r="M1" s="4" t="s">
        <v>30</v>
      </c>
      <c r="N1" s="4" t="s">
        <v>31</v>
      </c>
      <c r="O1" s="43" t="s">
        <v>32</v>
      </c>
      <c r="P1" s="43"/>
    </row>
    <row r="2" spans="1:26" ht="12.75" thickBot="1" x14ac:dyDescent="0.25">
      <c r="A2" s="6" t="s">
        <v>33</v>
      </c>
      <c r="B2" s="6" t="s">
        <v>53</v>
      </c>
      <c r="F2" s="21"/>
      <c r="G2" s="7" t="s">
        <v>34</v>
      </c>
      <c r="H2" s="8" t="s">
        <v>35</v>
      </c>
      <c r="I2" s="9" t="s">
        <v>36</v>
      </c>
      <c r="J2" s="9" t="s">
        <v>37</v>
      </c>
      <c r="K2" s="9" t="s">
        <v>17</v>
      </c>
      <c r="L2" s="7" t="s">
        <v>20</v>
      </c>
      <c r="M2" s="9" t="s">
        <v>38</v>
      </c>
      <c r="N2" s="9" t="s">
        <v>39</v>
      </c>
      <c r="O2" s="7" t="s">
        <v>40</v>
      </c>
      <c r="P2" s="10" t="s">
        <v>41</v>
      </c>
    </row>
    <row r="3" spans="1:26" x14ac:dyDescent="0.2">
      <c r="A3" s="1">
        <v>10.52</v>
      </c>
      <c r="B3" s="27">
        <v>142.19999999999999</v>
      </c>
      <c r="D3" s="11" t="s">
        <v>4</v>
      </c>
      <c r="F3" s="21"/>
      <c r="G3" s="36">
        <f>E22</f>
        <v>128</v>
      </c>
      <c r="H3" s="36">
        <f t="shared" ref="H3:H11" si="0">G3+$E$19</f>
        <v>131.5</v>
      </c>
      <c r="I3" s="37">
        <f>COUNTIF(B:B,"&lt;="&amp;H3)-COUNTIF(B:B,"&lt;="&amp;G3)</f>
        <v>1</v>
      </c>
      <c r="J3" s="36">
        <f>I3</f>
        <v>1</v>
      </c>
      <c r="K3" s="36">
        <f t="shared" ref="K3:L11" si="1">I3/$D$4</f>
        <v>1.4285714285714285E-2</v>
      </c>
      <c r="L3" s="36">
        <f t="shared" si="1"/>
        <v>1.4285714285714285E-2</v>
      </c>
      <c r="M3" s="25">
        <f t="shared" ref="M3:M11" si="2">(H3+G3)/2</f>
        <v>129.75</v>
      </c>
      <c r="N3" s="25">
        <f t="shared" ref="N3:N11" si="3">M3*I3</f>
        <v>129.75</v>
      </c>
      <c r="O3" s="25">
        <f t="shared" ref="O3:O11" si="4">(M3-$N$19)^2</f>
        <v>251.22249999999983</v>
      </c>
      <c r="P3" s="25">
        <f t="shared" ref="P3:P11" si="5">O3*I3</f>
        <v>251.22249999999983</v>
      </c>
    </row>
    <row r="4" spans="1:26" ht="12.75" thickBot="1" x14ac:dyDescent="0.25">
      <c r="A4" s="1">
        <v>10.53</v>
      </c>
      <c r="B4" s="27">
        <v>138.9</v>
      </c>
      <c r="D4" s="14">
        <f>COUNT(B3:B126)</f>
        <v>70</v>
      </c>
      <c r="F4" s="21"/>
      <c r="G4" s="36">
        <f t="shared" ref="G4:G11" si="6">H3</f>
        <v>131.5</v>
      </c>
      <c r="H4" s="36">
        <f t="shared" si="0"/>
        <v>135</v>
      </c>
      <c r="I4" s="37">
        <f t="shared" ref="I4:I11" si="7">COUNTIF(B:B,"&lt;="&amp;H4)-COUNTIF(B:B,"&lt;="&amp;G4)</f>
        <v>2</v>
      </c>
      <c r="J4" s="36">
        <f t="shared" ref="J4:J11" si="8">I4+J3</f>
        <v>3</v>
      </c>
      <c r="K4" s="36">
        <f t="shared" si="1"/>
        <v>2.8571428571428571E-2</v>
      </c>
      <c r="L4" s="36">
        <f t="shared" si="1"/>
        <v>4.2857142857142858E-2</v>
      </c>
      <c r="M4" s="25">
        <f t="shared" si="2"/>
        <v>133.25</v>
      </c>
      <c r="N4" s="25">
        <f t="shared" si="3"/>
        <v>266.5</v>
      </c>
      <c r="O4" s="25">
        <f t="shared" si="4"/>
        <v>152.52249999999987</v>
      </c>
      <c r="P4" s="25">
        <f t="shared" si="5"/>
        <v>305.04499999999973</v>
      </c>
    </row>
    <row r="5" spans="1:26" ht="12.75" thickBot="1" x14ac:dyDescent="0.25">
      <c r="A5" s="1">
        <v>10.53</v>
      </c>
      <c r="B5" s="27">
        <v>140.30000000000001</v>
      </c>
      <c r="F5" s="21"/>
      <c r="G5" s="36">
        <f t="shared" si="6"/>
        <v>135</v>
      </c>
      <c r="H5" s="36">
        <f t="shared" si="0"/>
        <v>138.5</v>
      </c>
      <c r="I5" s="37">
        <f t="shared" si="7"/>
        <v>7</v>
      </c>
      <c r="J5" s="36">
        <f t="shared" si="8"/>
        <v>10</v>
      </c>
      <c r="K5" s="36">
        <f t="shared" si="1"/>
        <v>0.1</v>
      </c>
      <c r="L5" s="36">
        <f t="shared" si="1"/>
        <v>0.14285714285714285</v>
      </c>
      <c r="M5" s="25">
        <f t="shared" si="2"/>
        <v>136.75</v>
      </c>
      <c r="N5" s="25">
        <f t="shared" si="3"/>
        <v>957.25</v>
      </c>
      <c r="O5" s="25">
        <f t="shared" si="4"/>
        <v>78.322499999999906</v>
      </c>
      <c r="P5" s="25">
        <f t="shared" si="5"/>
        <v>548.25749999999937</v>
      </c>
    </row>
    <row r="6" spans="1:26" x14ac:dyDescent="0.2">
      <c r="A6" s="1">
        <v>10.53</v>
      </c>
      <c r="B6" s="27">
        <v>137.4</v>
      </c>
      <c r="D6" s="11" t="s">
        <v>42</v>
      </c>
      <c r="F6" s="21"/>
      <c r="G6" s="36">
        <f t="shared" si="6"/>
        <v>138.5</v>
      </c>
      <c r="H6" s="36">
        <f t="shared" si="0"/>
        <v>142</v>
      </c>
      <c r="I6" s="37">
        <f t="shared" si="7"/>
        <v>11</v>
      </c>
      <c r="J6" s="36">
        <f t="shared" si="8"/>
        <v>21</v>
      </c>
      <c r="K6" s="36">
        <f t="shared" si="1"/>
        <v>0.15714285714285714</v>
      </c>
      <c r="L6" s="36">
        <f t="shared" si="1"/>
        <v>0.3</v>
      </c>
      <c r="M6" s="25">
        <f t="shared" si="2"/>
        <v>140.25</v>
      </c>
      <c r="N6" s="25">
        <f t="shared" si="3"/>
        <v>1542.75</v>
      </c>
      <c r="O6" s="25">
        <f t="shared" si="4"/>
        <v>28.622499999999938</v>
      </c>
      <c r="P6" s="25">
        <f t="shared" si="5"/>
        <v>314.84749999999934</v>
      </c>
      <c r="Z6" s="18"/>
    </row>
    <row r="7" spans="1:26" ht="12.75" thickBot="1" x14ac:dyDescent="0.25">
      <c r="A7" s="1">
        <v>10.53</v>
      </c>
      <c r="B7" s="27">
        <v>143.1</v>
      </c>
      <c r="D7" s="15">
        <f>MIN(B3:B126)</f>
        <v>129.80000000000001</v>
      </c>
      <c r="F7" s="21"/>
      <c r="G7" s="36">
        <f t="shared" si="6"/>
        <v>142</v>
      </c>
      <c r="H7" s="36">
        <f t="shared" si="0"/>
        <v>145.5</v>
      </c>
      <c r="I7" s="37">
        <f t="shared" si="7"/>
        <v>10</v>
      </c>
      <c r="J7" s="36">
        <f t="shared" si="8"/>
        <v>31</v>
      </c>
      <c r="K7" s="36">
        <f t="shared" si="1"/>
        <v>0.14285714285714285</v>
      </c>
      <c r="L7" s="36">
        <f t="shared" si="1"/>
        <v>0.44285714285714284</v>
      </c>
      <c r="M7" s="25">
        <f t="shared" si="2"/>
        <v>143.75</v>
      </c>
      <c r="N7" s="25">
        <f t="shared" si="3"/>
        <v>1437.5</v>
      </c>
      <c r="O7" s="25">
        <f t="shared" si="4"/>
        <v>3.422499999999979</v>
      </c>
      <c r="P7" s="25">
        <f t="shared" si="5"/>
        <v>34.224999999999788</v>
      </c>
    </row>
    <row r="8" spans="1:26" ht="12.75" thickBot="1" x14ac:dyDescent="0.25">
      <c r="A8" s="1">
        <v>10.54</v>
      </c>
      <c r="B8" s="27">
        <v>133.6</v>
      </c>
      <c r="F8" s="21"/>
      <c r="G8" s="36">
        <f t="shared" si="6"/>
        <v>145.5</v>
      </c>
      <c r="H8" s="36">
        <f t="shared" si="0"/>
        <v>149</v>
      </c>
      <c r="I8" s="37">
        <f t="shared" si="7"/>
        <v>17</v>
      </c>
      <c r="J8" s="36">
        <f t="shared" si="8"/>
        <v>48</v>
      </c>
      <c r="K8" s="36">
        <f t="shared" si="1"/>
        <v>0.24285714285714285</v>
      </c>
      <c r="L8" s="36">
        <f t="shared" si="1"/>
        <v>0.68571428571428572</v>
      </c>
      <c r="M8" s="25">
        <f t="shared" si="2"/>
        <v>147.25</v>
      </c>
      <c r="N8" s="25">
        <f t="shared" si="3"/>
        <v>2503.25</v>
      </c>
      <c r="O8" s="25">
        <f t="shared" si="4"/>
        <v>2.7225000000000188</v>
      </c>
      <c r="P8" s="25">
        <f t="shared" si="5"/>
        <v>46.282500000000319</v>
      </c>
    </row>
    <row r="9" spans="1:26" x14ac:dyDescent="0.2">
      <c r="A9" s="1">
        <v>10.54</v>
      </c>
      <c r="B9" s="27">
        <v>141.80000000000001</v>
      </c>
      <c r="D9" s="11" t="s">
        <v>43</v>
      </c>
      <c r="F9" s="21"/>
      <c r="G9" s="36">
        <f t="shared" si="6"/>
        <v>149</v>
      </c>
      <c r="H9" s="36">
        <f t="shared" si="0"/>
        <v>152.5</v>
      </c>
      <c r="I9" s="37">
        <f t="shared" si="7"/>
        <v>13</v>
      </c>
      <c r="J9" s="36">
        <f t="shared" si="8"/>
        <v>61</v>
      </c>
      <c r="K9" s="36">
        <f t="shared" si="1"/>
        <v>0.18571428571428572</v>
      </c>
      <c r="L9" s="36">
        <f t="shared" si="1"/>
        <v>0.87142857142857144</v>
      </c>
      <c r="M9" s="25">
        <f t="shared" si="2"/>
        <v>150.75</v>
      </c>
      <c r="N9" s="25">
        <f t="shared" si="3"/>
        <v>1959.75</v>
      </c>
      <c r="O9" s="25">
        <f t="shared" si="4"/>
        <v>26.522500000000058</v>
      </c>
      <c r="P9" s="25">
        <f t="shared" si="5"/>
        <v>344.79250000000076</v>
      </c>
    </row>
    <row r="10" spans="1:26" ht="12.75" thickBot="1" x14ac:dyDescent="0.25">
      <c r="A10" s="1">
        <v>10.56</v>
      </c>
      <c r="B10" s="27">
        <v>137.5</v>
      </c>
      <c r="D10" s="15">
        <f>MAX(B3:B126)</f>
        <v>158.19999999999999</v>
      </c>
      <c r="F10" s="21"/>
      <c r="G10" s="36">
        <f t="shared" si="6"/>
        <v>152.5</v>
      </c>
      <c r="H10" s="36">
        <f t="shared" si="0"/>
        <v>156</v>
      </c>
      <c r="I10" s="37">
        <f t="shared" si="7"/>
        <v>7</v>
      </c>
      <c r="J10" s="36">
        <f t="shared" si="8"/>
        <v>68</v>
      </c>
      <c r="K10" s="36">
        <f t="shared" si="1"/>
        <v>0.1</v>
      </c>
      <c r="L10" s="36">
        <f t="shared" si="1"/>
        <v>0.97142857142857142</v>
      </c>
      <c r="M10" s="25">
        <f t="shared" si="2"/>
        <v>154.25</v>
      </c>
      <c r="N10" s="25">
        <f t="shared" si="3"/>
        <v>1079.75</v>
      </c>
      <c r="O10" s="25">
        <f t="shared" si="4"/>
        <v>74.822500000000105</v>
      </c>
      <c r="P10" s="25">
        <f t="shared" si="5"/>
        <v>523.75750000000073</v>
      </c>
    </row>
    <row r="11" spans="1:26" ht="12.75" thickBot="1" x14ac:dyDescent="0.25">
      <c r="A11" s="1">
        <v>10.56</v>
      </c>
      <c r="B11" s="27">
        <v>154.5</v>
      </c>
      <c r="E11" s="42" t="s">
        <v>52</v>
      </c>
      <c r="F11" s="21"/>
      <c r="G11" s="36">
        <f t="shared" si="6"/>
        <v>156</v>
      </c>
      <c r="H11" s="36">
        <f t="shared" si="0"/>
        <v>159.5</v>
      </c>
      <c r="I11" s="37">
        <f t="shared" si="7"/>
        <v>2</v>
      </c>
      <c r="J11" s="36">
        <f t="shared" si="8"/>
        <v>70</v>
      </c>
      <c r="K11" s="36">
        <f t="shared" si="1"/>
        <v>2.8571428571428571E-2</v>
      </c>
      <c r="L11" s="36">
        <f t="shared" si="1"/>
        <v>1</v>
      </c>
      <c r="M11" s="25">
        <f t="shared" si="2"/>
        <v>157.75</v>
      </c>
      <c r="N11" s="25">
        <f t="shared" si="3"/>
        <v>315.5</v>
      </c>
      <c r="O11" s="25">
        <f t="shared" si="4"/>
        <v>147.62250000000014</v>
      </c>
      <c r="P11" s="25">
        <f t="shared" si="5"/>
        <v>295.24500000000029</v>
      </c>
    </row>
    <row r="12" spans="1:26" ht="12.75" thickBot="1" x14ac:dyDescent="0.25">
      <c r="A12" s="1">
        <v>10.56</v>
      </c>
      <c r="B12" s="27">
        <v>148.6</v>
      </c>
      <c r="D12" s="11" t="s">
        <v>1</v>
      </c>
      <c r="E12" s="42"/>
      <c r="F12" s="21"/>
      <c r="G12" s="36">
        <f t="shared" ref="G12:G17" si="9">H11</f>
        <v>159.5</v>
      </c>
      <c r="H12" s="36">
        <f t="shared" ref="H12:H17" si="10">G12+$E$19</f>
        <v>163</v>
      </c>
      <c r="I12" s="37">
        <f t="shared" ref="I12:I17" si="11">COUNTIF(B:B,"&lt;="&amp;H12)-COUNTIF(B:B,"&lt;="&amp;G12)</f>
        <v>0</v>
      </c>
      <c r="J12" s="36">
        <f t="shared" ref="J12:J17" si="12">I12+J11</f>
        <v>70</v>
      </c>
      <c r="K12" s="36">
        <f t="shared" ref="K12:K17" si="13">I12/$D$4</f>
        <v>0</v>
      </c>
      <c r="L12" s="36">
        <f t="shared" ref="L12:L17" si="14">J12/$D$4</f>
        <v>1</v>
      </c>
      <c r="M12" s="25">
        <f t="shared" ref="M12:M17" si="15">(H12+G12)/2</f>
        <v>161.25</v>
      </c>
      <c r="N12" s="25">
        <f t="shared" ref="N12:N17" si="16">M12*I12</f>
        <v>0</v>
      </c>
      <c r="O12" s="25">
        <f t="shared" ref="O12:O17" si="17">(M12-$N$19)^2</f>
        <v>244.92250000000018</v>
      </c>
      <c r="P12" s="25">
        <f t="shared" ref="P12:P17" si="18">O12*I12</f>
        <v>0</v>
      </c>
    </row>
    <row r="13" spans="1:26" ht="12.75" thickBot="1" x14ac:dyDescent="0.25">
      <c r="A13" s="1">
        <v>10.57</v>
      </c>
      <c r="B13" s="27">
        <v>146</v>
      </c>
      <c r="D13" s="15">
        <f>D10-D7</f>
        <v>28.399999999999977</v>
      </c>
      <c r="E13" s="42"/>
      <c r="F13" s="21"/>
      <c r="G13" s="36">
        <f t="shared" si="9"/>
        <v>163</v>
      </c>
      <c r="H13" s="36">
        <f t="shared" si="10"/>
        <v>166.5</v>
      </c>
      <c r="I13" s="37">
        <f t="shared" si="11"/>
        <v>0</v>
      </c>
      <c r="J13" s="36">
        <f t="shared" si="12"/>
        <v>70</v>
      </c>
      <c r="K13" s="36">
        <f t="shared" si="13"/>
        <v>0</v>
      </c>
      <c r="L13" s="36">
        <f t="shared" si="14"/>
        <v>1</v>
      </c>
      <c r="M13" s="25">
        <f t="shared" si="15"/>
        <v>164.75</v>
      </c>
      <c r="N13" s="25">
        <f t="shared" si="16"/>
        <v>0</v>
      </c>
      <c r="O13" s="25">
        <f t="shared" si="17"/>
        <v>366.7225000000002</v>
      </c>
      <c r="P13" s="25">
        <f t="shared" si="18"/>
        <v>0</v>
      </c>
    </row>
    <row r="14" spans="1:26" ht="12.75" thickBot="1" x14ac:dyDescent="0.25">
      <c r="A14" s="1">
        <v>10.57</v>
      </c>
      <c r="B14" s="27">
        <v>146.5</v>
      </c>
      <c r="E14" s="42"/>
      <c r="F14" s="21"/>
      <c r="G14" s="36">
        <f t="shared" si="9"/>
        <v>166.5</v>
      </c>
      <c r="H14" s="36">
        <f t="shared" si="10"/>
        <v>170</v>
      </c>
      <c r="I14" s="37">
        <f t="shared" si="11"/>
        <v>0</v>
      </c>
      <c r="J14" s="36">
        <f t="shared" si="12"/>
        <v>70</v>
      </c>
      <c r="K14" s="36">
        <f t="shared" si="13"/>
        <v>0</v>
      </c>
      <c r="L14" s="36">
        <f t="shared" si="14"/>
        <v>1</v>
      </c>
      <c r="M14" s="25">
        <f t="shared" si="15"/>
        <v>168.25</v>
      </c>
      <c r="N14" s="25">
        <f t="shared" si="16"/>
        <v>0</v>
      </c>
      <c r="O14" s="25">
        <f t="shared" si="17"/>
        <v>513.02250000000026</v>
      </c>
      <c r="P14" s="25">
        <f t="shared" si="18"/>
        <v>0</v>
      </c>
    </row>
    <row r="15" spans="1:26" ht="12.75" thickBot="1" x14ac:dyDescent="0.25">
      <c r="A15" s="1">
        <v>10.58</v>
      </c>
      <c r="B15" s="27">
        <v>136.69999999999999</v>
      </c>
      <c r="D15" s="11" t="s">
        <v>6</v>
      </c>
      <c r="E15" s="42"/>
      <c r="F15" s="21"/>
      <c r="G15" s="36">
        <f t="shared" si="9"/>
        <v>170</v>
      </c>
      <c r="H15" s="36">
        <f t="shared" si="10"/>
        <v>173.5</v>
      </c>
      <c r="I15" s="37">
        <f t="shared" si="11"/>
        <v>0</v>
      </c>
      <c r="J15" s="36">
        <f t="shared" si="12"/>
        <v>70</v>
      </c>
      <c r="K15" s="36">
        <f t="shared" si="13"/>
        <v>0</v>
      </c>
      <c r="L15" s="36">
        <f t="shared" si="14"/>
        <v>1</v>
      </c>
      <c r="M15" s="25">
        <f t="shared" si="15"/>
        <v>171.75</v>
      </c>
      <c r="N15" s="25">
        <f t="shared" si="16"/>
        <v>0</v>
      </c>
      <c r="O15" s="25">
        <f t="shared" si="17"/>
        <v>683.82250000000033</v>
      </c>
      <c r="P15" s="25">
        <f t="shared" si="18"/>
        <v>0</v>
      </c>
    </row>
    <row r="16" spans="1:26" ht="12.75" thickBot="1" x14ac:dyDescent="0.25">
      <c r="A16" s="1">
        <v>10.58</v>
      </c>
      <c r="B16" s="27">
        <v>146.19999999999999</v>
      </c>
      <c r="D16" s="14">
        <f>SQRT(D4)</f>
        <v>8.3666002653407556</v>
      </c>
      <c r="E16" s="20">
        <v>8</v>
      </c>
      <c r="G16" s="36">
        <f t="shared" si="9"/>
        <v>173.5</v>
      </c>
      <c r="H16" s="36">
        <f t="shared" si="10"/>
        <v>177</v>
      </c>
      <c r="I16" s="37">
        <f t="shared" si="11"/>
        <v>0</v>
      </c>
      <c r="J16" s="36">
        <f t="shared" si="12"/>
        <v>70</v>
      </c>
      <c r="K16" s="36">
        <f t="shared" si="13"/>
        <v>0</v>
      </c>
      <c r="L16" s="36">
        <f t="shared" si="14"/>
        <v>1</v>
      </c>
      <c r="M16" s="25">
        <f t="shared" si="15"/>
        <v>175.25</v>
      </c>
      <c r="N16" s="25">
        <f t="shared" si="16"/>
        <v>0</v>
      </c>
      <c r="O16" s="25">
        <f t="shared" si="17"/>
        <v>879.12250000000029</v>
      </c>
      <c r="P16" s="25">
        <f t="shared" si="18"/>
        <v>0</v>
      </c>
    </row>
    <row r="17" spans="1:16" ht="12.75" thickBot="1" x14ac:dyDescent="0.25">
      <c r="A17" s="1">
        <v>10.58</v>
      </c>
      <c r="B17" s="27">
        <v>149.6</v>
      </c>
      <c r="E17" s="12"/>
      <c r="G17" s="36">
        <f t="shared" si="9"/>
        <v>177</v>
      </c>
      <c r="H17" s="36">
        <f t="shared" si="10"/>
        <v>180.5</v>
      </c>
      <c r="I17" s="37">
        <f t="shared" si="11"/>
        <v>0</v>
      </c>
      <c r="J17" s="36">
        <f t="shared" si="12"/>
        <v>70</v>
      </c>
      <c r="K17" s="36">
        <f t="shared" si="13"/>
        <v>0</v>
      </c>
      <c r="L17" s="36">
        <f t="shared" si="14"/>
        <v>1</v>
      </c>
      <c r="M17" s="25">
        <f t="shared" si="15"/>
        <v>178.75</v>
      </c>
      <c r="N17" s="25">
        <f t="shared" si="16"/>
        <v>0</v>
      </c>
      <c r="O17" s="25">
        <f t="shared" si="17"/>
        <v>1098.9225000000004</v>
      </c>
      <c r="P17" s="25">
        <f t="shared" si="18"/>
        <v>0</v>
      </c>
    </row>
    <row r="18" spans="1:16" ht="12.75" thickBot="1" x14ac:dyDescent="0.25">
      <c r="A18" s="1">
        <v>10.58</v>
      </c>
      <c r="B18" s="27">
        <v>133</v>
      </c>
      <c r="D18" s="11" t="s">
        <v>9</v>
      </c>
      <c r="E18" s="12"/>
      <c r="M18" s="44" t="s">
        <v>44</v>
      </c>
      <c r="N18" s="13">
        <f>SUM(N3:N17)</f>
        <v>10192</v>
      </c>
      <c r="O18" s="44" t="s">
        <v>24</v>
      </c>
      <c r="P18" s="13">
        <f>SUM(P3:P17)</f>
        <v>2663.6750000000002</v>
      </c>
    </row>
    <row r="19" spans="1:16" ht="12.75" thickBot="1" x14ac:dyDescent="0.25">
      <c r="A19" s="1">
        <v>10.61</v>
      </c>
      <c r="B19" s="27">
        <v>151.19999999999999</v>
      </c>
      <c r="D19" s="14">
        <f>D13/E16</f>
        <v>3.5499999999999972</v>
      </c>
      <c r="E19" s="22">
        <v>3.5</v>
      </c>
      <c r="G19" s="31" t="s">
        <v>46</v>
      </c>
      <c r="H19" s="30">
        <f>E19</f>
        <v>3.5</v>
      </c>
      <c r="M19" s="44"/>
      <c r="N19" s="24">
        <f>N18/$D$4</f>
        <v>145.6</v>
      </c>
      <c r="O19" s="44"/>
      <c r="P19" s="33">
        <f>P18/$D$4</f>
        <v>38.052500000000002</v>
      </c>
    </row>
    <row r="20" spans="1:16" ht="12.75" thickBot="1" x14ac:dyDescent="0.25">
      <c r="A20" s="1">
        <v>10.61</v>
      </c>
      <c r="B20" s="27">
        <v>146</v>
      </c>
      <c r="E20" s="12"/>
      <c r="G20" s="31" t="s">
        <v>47</v>
      </c>
      <c r="H20" s="28">
        <f>E22</f>
        <v>128</v>
      </c>
      <c r="O20" s="45" t="s">
        <v>25</v>
      </c>
      <c r="P20" s="24">
        <f>SQRT(P19)</f>
        <v>6.1686708454901371</v>
      </c>
    </row>
    <row r="21" spans="1:16" ht="12.75" thickBot="1" x14ac:dyDescent="0.25">
      <c r="A21" s="1">
        <v>10.64</v>
      </c>
      <c r="B21" s="27">
        <v>147</v>
      </c>
      <c r="D21" s="11" t="s">
        <v>12</v>
      </c>
      <c r="E21" s="12"/>
      <c r="G21" s="32" t="s">
        <v>48</v>
      </c>
      <c r="H21" s="28">
        <f>D4</f>
        <v>70</v>
      </c>
      <c r="O21" s="45"/>
    </row>
    <row r="22" spans="1:16" ht="36.75" thickBot="1" x14ac:dyDescent="0.25">
      <c r="A22" s="1">
        <v>10.64</v>
      </c>
      <c r="B22" s="27">
        <v>143.4</v>
      </c>
      <c r="D22" s="16">
        <f>D7-(E19/2)</f>
        <v>128.05000000000001</v>
      </c>
      <c r="E22" s="23">
        <v>128</v>
      </c>
      <c r="G22" s="17" t="s">
        <v>45</v>
      </c>
      <c r="H22" s="19">
        <f>N19</f>
        <v>145.6</v>
      </c>
      <c r="I22" s="38" t="s">
        <v>54</v>
      </c>
      <c r="J22" s="29">
        <f>AVERAGE(B:B)</f>
        <v>145.58285714285719</v>
      </c>
    </row>
    <row r="23" spans="1:16" ht="60" x14ac:dyDescent="0.2">
      <c r="A23" s="1">
        <v>10.64</v>
      </c>
      <c r="B23" s="27">
        <v>142</v>
      </c>
      <c r="G23" s="17" t="s">
        <v>57</v>
      </c>
      <c r="H23" s="34">
        <f>P20</f>
        <v>6.1686708454901371</v>
      </c>
      <c r="I23" s="17" t="s">
        <v>58</v>
      </c>
      <c r="J23" s="35">
        <f>_xlfn.STDEV.P(B:B)</f>
        <v>6.1646914284628451</v>
      </c>
    </row>
    <row r="24" spans="1:16" x14ac:dyDescent="0.2">
      <c r="A24" s="1">
        <v>10.64</v>
      </c>
      <c r="B24" s="27">
        <v>147.30000000000001</v>
      </c>
    </row>
    <row r="25" spans="1:16" x14ac:dyDescent="0.2">
      <c r="A25" s="1">
        <v>10.65</v>
      </c>
      <c r="B25" s="27">
        <v>139.5</v>
      </c>
    </row>
    <row r="26" spans="1:16" ht="36" x14ac:dyDescent="0.2">
      <c r="A26" s="1">
        <v>10.65</v>
      </c>
      <c r="B26" s="27">
        <v>137.19999999999999</v>
      </c>
      <c r="G26" s="39" t="s">
        <v>55</v>
      </c>
      <c r="H26" s="40">
        <f>ABS(H22-J22)/J22</f>
        <v>1.1775326765279134E-4</v>
      </c>
    </row>
    <row r="27" spans="1:16" ht="60" x14ac:dyDescent="0.2">
      <c r="A27" s="1">
        <v>10.67</v>
      </c>
      <c r="B27" s="27">
        <v>146.6</v>
      </c>
      <c r="G27" s="39" t="s">
        <v>56</v>
      </c>
      <c r="H27" s="40">
        <f>ABS(H23-J23)/J23</f>
        <v>6.4551763433263163E-4</v>
      </c>
    </row>
    <row r="28" spans="1:16" x14ac:dyDescent="0.2">
      <c r="A28" s="1">
        <v>10.67</v>
      </c>
      <c r="B28" s="27">
        <v>156</v>
      </c>
    </row>
    <row r="29" spans="1:16" x14ac:dyDescent="0.2">
      <c r="A29" s="1">
        <v>10.68</v>
      </c>
      <c r="B29" s="27">
        <v>141.4</v>
      </c>
    </row>
    <row r="30" spans="1:16" x14ac:dyDescent="0.2">
      <c r="A30" s="1">
        <v>10.69</v>
      </c>
      <c r="B30" s="27">
        <v>135.5</v>
      </c>
    </row>
    <row r="31" spans="1:16" x14ac:dyDescent="0.2">
      <c r="A31" s="1">
        <v>10.7</v>
      </c>
      <c r="B31" s="27">
        <v>142.1</v>
      </c>
    </row>
    <row r="32" spans="1:16" x14ac:dyDescent="0.2">
      <c r="A32" s="1">
        <v>10.71</v>
      </c>
      <c r="B32" s="27">
        <v>142.69999999999999</v>
      </c>
    </row>
    <row r="33" spans="1:2" x14ac:dyDescent="0.2">
      <c r="A33" s="1">
        <v>10.72</v>
      </c>
      <c r="B33" s="27">
        <v>149.6</v>
      </c>
    </row>
    <row r="34" spans="1:2" x14ac:dyDescent="0.2">
      <c r="A34" s="1">
        <v>10.72</v>
      </c>
      <c r="B34" s="27">
        <v>141.19999999999999</v>
      </c>
    </row>
    <row r="35" spans="1:2" x14ac:dyDescent="0.2">
      <c r="A35" s="1">
        <v>10.73</v>
      </c>
      <c r="B35" s="27">
        <v>139.1</v>
      </c>
    </row>
    <row r="36" spans="1:2" x14ac:dyDescent="0.2">
      <c r="A36" s="1">
        <v>10.73</v>
      </c>
      <c r="B36" s="27">
        <v>147.1</v>
      </c>
    </row>
    <row r="37" spans="1:2" x14ac:dyDescent="0.2">
      <c r="A37" s="1">
        <v>10.73</v>
      </c>
      <c r="B37" s="27">
        <v>140.4</v>
      </c>
    </row>
    <row r="38" spans="1:2" x14ac:dyDescent="0.2">
      <c r="A38" s="1">
        <v>10.74</v>
      </c>
      <c r="B38" s="27">
        <v>150.4</v>
      </c>
    </row>
    <row r="39" spans="1:2" x14ac:dyDescent="0.2">
      <c r="A39" s="1">
        <v>10.74</v>
      </c>
      <c r="B39" s="27">
        <v>145.30000000000001</v>
      </c>
    </row>
    <row r="40" spans="1:2" x14ac:dyDescent="0.2">
      <c r="A40" s="1">
        <v>10.74</v>
      </c>
      <c r="B40" s="27">
        <v>149.9</v>
      </c>
    </row>
    <row r="41" spans="1:2" x14ac:dyDescent="0.2">
      <c r="A41" s="1">
        <v>10.75</v>
      </c>
      <c r="B41" s="27">
        <v>150.80000000000001</v>
      </c>
    </row>
    <row r="42" spans="1:2" x14ac:dyDescent="0.2">
      <c r="A42" s="1">
        <v>10.78</v>
      </c>
      <c r="B42" s="27">
        <v>149.30000000000001</v>
      </c>
    </row>
    <row r="43" spans="1:2" x14ac:dyDescent="0.2">
      <c r="A43" s="1">
        <v>10.78</v>
      </c>
      <c r="B43" s="27">
        <v>150.30000000000001</v>
      </c>
    </row>
    <row r="44" spans="1:2" x14ac:dyDescent="0.2">
      <c r="A44" s="1">
        <v>10.8</v>
      </c>
      <c r="B44" s="27">
        <v>151.80000000000001</v>
      </c>
    </row>
    <row r="45" spans="1:2" x14ac:dyDescent="0.2">
      <c r="A45" s="1">
        <v>10.8</v>
      </c>
      <c r="B45" s="27">
        <v>142.4</v>
      </c>
    </row>
    <row r="46" spans="1:2" x14ac:dyDescent="0.2">
      <c r="A46" s="1">
        <v>10.8</v>
      </c>
      <c r="B46" s="27">
        <v>141.80000000000001</v>
      </c>
    </row>
    <row r="47" spans="1:2" x14ac:dyDescent="0.2">
      <c r="A47" s="1">
        <v>10.81</v>
      </c>
      <c r="B47" s="27">
        <v>157</v>
      </c>
    </row>
    <row r="48" spans="1:2" x14ac:dyDescent="0.2">
      <c r="A48" s="1">
        <v>10.81</v>
      </c>
      <c r="B48" s="27">
        <v>153.1</v>
      </c>
    </row>
    <row r="49" spans="1:2" x14ac:dyDescent="0.2">
      <c r="A49" s="1">
        <v>10.82</v>
      </c>
      <c r="B49" s="27">
        <v>129.80000000000001</v>
      </c>
    </row>
    <row r="50" spans="1:2" x14ac:dyDescent="0.2">
      <c r="A50" s="1">
        <v>10.82</v>
      </c>
      <c r="B50" s="27">
        <v>151.5</v>
      </c>
    </row>
    <row r="51" spans="1:2" x14ac:dyDescent="0.2">
      <c r="A51" s="1">
        <v>10.84</v>
      </c>
      <c r="B51" s="27">
        <v>155.19999999999999</v>
      </c>
    </row>
    <row r="52" spans="1:2" x14ac:dyDescent="0.2">
      <c r="A52" s="1">
        <v>10.86</v>
      </c>
      <c r="B52" s="27">
        <v>152.80000000000001</v>
      </c>
    </row>
    <row r="53" spans="1:2" x14ac:dyDescent="0.2">
      <c r="A53" s="1">
        <v>10.86</v>
      </c>
      <c r="B53" s="27">
        <v>146</v>
      </c>
    </row>
    <row r="54" spans="1:2" x14ac:dyDescent="0.2">
      <c r="A54" s="1">
        <v>10.87</v>
      </c>
      <c r="B54" s="27">
        <v>155.9</v>
      </c>
    </row>
    <row r="55" spans="1:2" x14ac:dyDescent="0.2">
      <c r="A55" s="1">
        <v>10.88</v>
      </c>
      <c r="B55" s="27">
        <v>147.5</v>
      </c>
    </row>
    <row r="56" spans="1:2" x14ac:dyDescent="0.2">
      <c r="A56" s="1">
        <v>10.88</v>
      </c>
      <c r="B56" s="27">
        <v>147.5</v>
      </c>
    </row>
    <row r="57" spans="1:2" x14ac:dyDescent="0.2">
      <c r="A57" s="1">
        <v>10.89</v>
      </c>
      <c r="B57" s="27">
        <v>148.69999999999999</v>
      </c>
    </row>
    <row r="58" spans="1:2" x14ac:dyDescent="0.2">
      <c r="A58" s="1">
        <v>10.89</v>
      </c>
      <c r="B58" s="27">
        <v>146.80000000000001</v>
      </c>
    </row>
    <row r="59" spans="1:2" x14ac:dyDescent="0.2">
      <c r="A59" s="1">
        <v>10.9</v>
      </c>
      <c r="B59" s="27">
        <v>148.69999999999999</v>
      </c>
    </row>
    <row r="60" spans="1:2" x14ac:dyDescent="0.2">
      <c r="A60" s="1">
        <v>10.91</v>
      </c>
      <c r="B60" s="27">
        <v>139.19999999999999</v>
      </c>
    </row>
    <row r="61" spans="1:2" x14ac:dyDescent="0.2">
      <c r="A61" s="1">
        <v>10.91</v>
      </c>
      <c r="B61" s="27">
        <v>137.5</v>
      </c>
    </row>
    <row r="62" spans="1:2" x14ac:dyDescent="0.2">
      <c r="A62" s="1">
        <v>10.92</v>
      </c>
      <c r="B62" s="27">
        <v>150.69999999999999</v>
      </c>
    </row>
    <row r="63" spans="1:2" x14ac:dyDescent="0.2">
      <c r="A63" s="1">
        <v>10.93</v>
      </c>
      <c r="B63" s="27">
        <v>144.80000000000001</v>
      </c>
    </row>
    <row r="64" spans="1:2" x14ac:dyDescent="0.2">
      <c r="A64" s="1">
        <v>10.94</v>
      </c>
      <c r="B64" s="27">
        <v>151.19999999999999</v>
      </c>
    </row>
    <row r="65" spans="1:2" x14ac:dyDescent="0.2">
      <c r="A65" s="1">
        <v>10.95</v>
      </c>
      <c r="B65" s="27">
        <v>143</v>
      </c>
    </row>
    <row r="66" spans="1:2" x14ac:dyDescent="0.2">
      <c r="A66" s="1">
        <v>10.95</v>
      </c>
      <c r="B66" s="27">
        <v>151.1</v>
      </c>
    </row>
    <row r="67" spans="1:2" x14ac:dyDescent="0.2">
      <c r="A67" s="1">
        <v>10.96</v>
      </c>
      <c r="B67" s="27">
        <v>148.69999999999999</v>
      </c>
    </row>
    <row r="68" spans="1:2" x14ac:dyDescent="0.2">
      <c r="A68" s="1">
        <v>10.97</v>
      </c>
      <c r="B68" s="27">
        <v>144</v>
      </c>
    </row>
    <row r="69" spans="1:2" x14ac:dyDescent="0.2">
      <c r="A69" s="1">
        <v>10.97</v>
      </c>
      <c r="B69" s="27">
        <v>152.80000000000001</v>
      </c>
    </row>
    <row r="70" spans="1:2" x14ac:dyDescent="0.2">
      <c r="A70" s="1">
        <v>10.98</v>
      </c>
      <c r="B70" s="27">
        <v>148.5</v>
      </c>
    </row>
    <row r="71" spans="1:2" x14ac:dyDescent="0.2">
      <c r="A71" s="1">
        <v>10.98</v>
      </c>
      <c r="B71" s="27">
        <v>137.4</v>
      </c>
    </row>
    <row r="72" spans="1:2" x14ac:dyDescent="0.2">
      <c r="A72" s="1">
        <v>10.99</v>
      </c>
      <c r="B72" s="27">
        <v>158.19999999999999</v>
      </c>
    </row>
  </sheetData>
  <mergeCells count="6">
    <mergeCell ref="O20:O21"/>
    <mergeCell ref="G1:H1"/>
    <mergeCell ref="O1:P1"/>
    <mergeCell ref="E11:E15"/>
    <mergeCell ref="M18:M19"/>
    <mergeCell ref="O18:O1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8719-AD63-4AC4-A679-AFF1F7D1D54C}">
  <dimension ref="A1:AA72"/>
  <sheetViews>
    <sheetView topLeftCell="A7" zoomScale="112" zoomScaleNormal="112" workbookViewId="0">
      <selection activeCell="K33" sqref="K33"/>
    </sheetView>
  </sheetViews>
  <sheetFormatPr defaultRowHeight="12" x14ac:dyDescent="0.2"/>
  <cols>
    <col min="1" max="2" width="6.42578125" style="1" bestFit="1" customWidth="1"/>
    <col min="3" max="4" width="8.7109375" customWidth="1"/>
    <col min="5" max="5" width="16.28515625" customWidth="1"/>
    <col min="6" max="6" width="3.28515625" bestFit="1" customWidth="1"/>
    <col min="7" max="8" width="8.7109375" customWidth="1"/>
    <col min="9" max="9" width="9.7109375" customWidth="1"/>
    <col min="10" max="10" width="10.28515625" customWidth="1"/>
    <col min="11" max="11" width="15.7109375" customWidth="1"/>
    <col min="12" max="12" width="16.140625" customWidth="1"/>
    <col min="13" max="13" width="11.85546875" customWidth="1"/>
    <col min="14" max="14" width="12.5703125" customWidth="1"/>
    <col min="15" max="15" width="12.28515625" customWidth="1"/>
    <col min="16" max="18" width="8.7109375" customWidth="1"/>
    <col min="19" max="19" width="43" customWidth="1"/>
    <col min="20" max="20" width="17.140625" customWidth="1"/>
    <col min="21" max="21" width="8.7109375" customWidth="1"/>
    <col min="22" max="22" width="31.7109375" customWidth="1"/>
    <col min="23" max="26" width="8.7109375" customWidth="1"/>
    <col min="27" max="27" width="76.5703125" customWidth="1"/>
    <col min="28" max="1008" width="8.7109375" customWidth="1"/>
  </cols>
  <sheetData>
    <row r="1" spans="1:27" ht="36.75" thickBot="1" x14ac:dyDescent="0.25">
      <c r="F1" s="21"/>
      <c r="G1" s="41" t="s">
        <v>26</v>
      </c>
      <c r="H1" s="41"/>
      <c r="I1" s="3" t="s">
        <v>27</v>
      </c>
      <c r="J1" s="4" t="s">
        <v>28</v>
      </c>
      <c r="K1" s="4" t="s">
        <v>49</v>
      </c>
      <c r="L1" s="5" t="s">
        <v>29</v>
      </c>
      <c r="M1" s="4" t="s">
        <v>30</v>
      </c>
      <c r="N1" s="4" t="s">
        <v>31</v>
      </c>
      <c r="O1" s="43" t="s">
        <v>32</v>
      </c>
      <c r="P1" s="43"/>
    </row>
    <row r="2" spans="1:27" ht="12.75" thickBot="1" x14ac:dyDescent="0.25">
      <c r="A2" s="6" t="s">
        <v>33</v>
      </c>
      <c r="B2" s="6" t="s">
        <v>53</v>
      </c>
      <c r="F2" s="21"/>
      <c r="G2" s="7" t="s">
        <v>34</v>
      </c>
      <c r="H2" s="8" t="s">
        <v>35</v>
      </c>
      <c r="I2" s="9" t="s">
        <v>36</v>
      </c>
      <c r="J2" s="9" t="s">
        <v>37</v>
      </c>
      <c r="K2" s="9" t="s">
        <v>17</v>
      </c>
      <c r="L2" s="7" t="s">
        <v>20</v>
      </c>
      <c r="M2" s="9" t="s">
        <v>38</v>
      </c>
      <c r="N2" s="9" t="s">
        <v>39</v>
      </c>
      <c r="O2" s="7" t="s">
        <v>40</v>
      </c>
      <c r="P2" s="10" t="s">
        <v>41</v>
      </c>
      <c r="S2" s="46" t="s">
        <v>59</v>
      </c>
      <c r="T2" s="46"/>
      <c r="V2" s="47" t="s">
        <v>60</v>
      </c>
      <c r="W2" s="48"/>
      <c r="Z2" s="49" t="s">
        <v>61</v>
      </c>
      <c r="AA2" s="49" t="s">
        <v>62</v>
      </c>
    </row>
    <row r="3" spans="1:27" x14ac:dyDescent="0.2">
      <c r="A3" s="1">
        <v>10.52</v>
      </c>
      <c r="B3" s="27">
        <v>142.19999999999999</v>
      </c>
      <c r="D3" s="11" t="s">
        <v>4</v>
      </c>
      <c r="F3" s="50">
        <v>1</v>
      </c>
      <c r="G3" s="25">
        <f>E22</f>
        <v>128</v>
      </c>
      <c r="H3" s="25">
        <f t="shared" ref="H3:H11" si="0">G3+$E$19</f>
        <v>131.5</v>
      </c>
      <c r="I3" s="26">
        <f>COUNTIF(B:B,"&lt;="&amp;H3)-COUNTIF(B:B,"&lt;="&amp;G3)</f>
        <v>1</v>
      </c>
      <c r="J3" s="25">
        <f>I3</f>
        <v>1</v>
      </c>
      <c r="K3" s="25">
        <f t="shared" ref="K3:L11" si="1">I3/$D$4</f>
        <v>1.4285714285714285E-2</v>
      </c>
      <c r="L3" s="25">
        <f t="shared" si="1"/>
        <v>1.4285714285714285E-2</v>
      </c>
      <c r="M3" s="25">
        <f t="shared" ref="M3:M11" si="2">(H3+G3)/2</f>
        <v>129.75</v>
      </c>
      <c r="N3" s="25">
        <f t="shared" ref="N3:N11" si="3">M3*I3</f>
        <v>129.75</v>
      </c>
      <c r="O3" s="25">
        <f t="shared" ref="O3:O11" si="4">(M3-$N$13)^2</f>
        <v>251.22249999999983</v>
      </c>
      <c r="P3" s="25">
        <f t="shared" ref="P3:P11" si="5">O3*I3</f>
        <v>251.22249999999983</v>
      </c>
      <c r="S3" s="51" t="s">
        <v>44</v>
      </c>
      <c r="T3" s="52">
        <f>AVERAGE(B:B)</f>
        <v>145.58285714285719</v>
      </c>
      <c r="V3" s="17" t="s">
        <v>45</v>
      </c>
      <c r="W3" s="53">
        <f>N13</f>
        <v>145.6</v>
      </c>
      <c r="Z3" s="54">
        <f>ABS(T3-W3)/T3</f>
        <v>1.1775326765279134E-4</v>
      </c>
      <c r="AA3" s="55" t="s">
        <v>63</v>
      </c>
    </row>
    <row r="4" spans="1:27" ht="22.5" customHeight="1" thickBot="1" x14ac:dyDescent="0.25">
      <c r="A4" s="1">
        <v>10.53</v>
      </c>
      <c r="B4" s="27">
        <v>138.9</v>
      </c>
      <c r="D4" s="14">
        <f>COUNT(B3:B126)</f>
        <v>70</v>
      </c>
      <c r="F4" s="50">
        <v>2</v>
      </c>
      <c r="G4" s="25">
        <f t="shared" ref="G4:G11" si="6">H3</f>
        <v>131.5</v>
      </c>
      <c r="H4" s="25">
        <f t="shared" si="0"/>
        <v>135</v>
      </c>
      <c r="I4" s="26">
        <f t="shared" ref="I4:I11" si="7">COUNTIF(B:B,"&lt;="&amp;H4)-COUNTIF(B:B,"&lt;="&amp;G4)</f>
        <v>2</v>
      </c>
      <c r="J4" s="25">
        <f t="shared" ref="J4:J11" si="8">I4+J3</f>
        <v>3</v>
      </c>
      <c r="K4" s="25">
        <f t="shared" si="1"/>
        <v>2.8571428571428571E-2</v>
      </c>
      <c r="L4" s="25">
        <f t="shared" si="1"/>
        <v>4.2857142857142858E-2</v>
      </c>
      <c r="M4" s="25">
        <f t="shared" si="2"/>
        <v>133.25</v>
      </c>
      <c r="N4" s="25">
        <f t="shared" si="3"/>
        <v>266.5</v>
      </c>
      <c r="O4" s="25">
        <f t="shared" si="4"/>
        <v>152.52249999999987</v>
      </c>
      <c r="P4" s="25">
        <f t="shared" si="5"/>
        <v>305.04499999999973</v>
      </c>
      <c r="S4" s="51" t="s">
        <v>25</v>
      </c>
      <c r="T4" s="52">
        <f>_xlfn.STDEV.P(B:B)</f>
        <v>6.1646914284628451</v>
      </c>
      <c r="V4" s="17" t="s">
        <v>57</v>
      </c>
      <c r="W4" s="53">
        <f>P14</f>
        <v>6.1686708454901371</v>
      </c>
      <c r="Z4" s="54">
        <f t="shared" ref="Z4:Z5" si="9">ABS(T4-W4)/T4</f>
        <v>6.4551763433263163E-4</v>
      </c>
      <c r="AA4" s="56"/>
    </row>
    <row r="5" spans="1:27" ht="39.75" customHeight="1" thickBot="1" x14ac:dyDescent="0.25">
      <c r="A5" s="1">
        <v>10.53</v>
      </c>
      <c r="B5" s="27">
        <v>140.30000000000001</v>
      </c>
      <c r="F5" s="50">
        <v>3</v>
      </c>
      <c r="G5" s="25">
        <f t="shared" si="6"/>
        <v>135</v>
      </c>
      <c r="H5" s="25">
        <f t="shared" si="0"/>
        <v>138.5</v>
      </c>
      <c r="I5" s="26">
        <f t="shared" si="7"/>
        <v>7</v>
      </c>
      <c r="J5" s="25">
        <f t="shared" si="8"/>
        <v>10</v>
      </c>
      <c r="K5" s="25">
        <f t="shared" si="1"/>
        <v>0.1</v>
      </c>
      <c r="L5" s="25">
        <f t="shared" si="1"/>
        <v>0.14285714285714285</v>
      </c>
      <c r="M5" s="25">
        <f t="shared" si="2"/>
        <v>136.75</v>
      </c>
      <c r="N5" s="25">
        <f t="shared" si="3"/>
        <v>957.25</v>
      </c>
      <c r="O5" s="25">
        <f t="shared" si="4"/>
        <v>78.322499999999906</v>
      </c>
      <c r="P5" s="25">
        <f t="shared" si="5"/>
        <v>548.25749999999937</v>
      </c>
      <c r="S5" s="17" t="s">
        <v>64</v>
      </c>
      <c r="T5" s="52">
        <f>MEDIAN(B:B)</f>
        <v>146.35</v>
      </c>
      <c r="V5" s="57" t="s">
        <v>65</v>
      </c>
      <c r="W5" s="53">
        <f>G41</f>
        <v>146.3235294117647</v>
      </c>
      <c r="Z5" s="54">
        <f t="shared" si="9"/>
        <v>1.8087180208608449E-4</v>
      </c>
      <c r="AA5" s="58" t="s">
        <v>66</v>
      </c>
    </row>
    <row r="6" spans="1:27" ht="46.5" customHeight="1" x14ac:dyDescent="0.2">
      <c r="A6" s="1">
        <v>10.53</v>
      </c>
      <c r="B6" s="27">
        <v>137.4</v>
      </c>
      <c r="D6" s="11" t="s">
        <v>42</v>
      </c>
      <c r="F6" s="50">
        <v>4</v>
      </c>
      <c r="G6" s="25">
        <f t="shared" si="6"/>
        <v>138.5</v>
      </c>
      <c r="H6" s="25">
        <f t="shared" si="0"/>
        <v>142</v>
      </c>
      <c r="I6" s="26">
        <f t="shared" si="7"/>
        <v>11</v>
      </c>
      <c r="J6" s="25">
        <f t="shared" si="8"/>
        <v>21</v>
      </c>
      <c r="K6" s="25">
        <f t="shared" si="1"/>
        <v>0.15714285714285714</v>
      </c>
      <c r="L6" s="25">
        <f t="shared" si="1"/>
        <v>0.3</v>
      </c>
      <c r="M6" s="25">
        <f t="shared" si="2"/>
        <v>140.25</v>
      </c>
      <c r="N6" s="25">
        <f t="shared" si="3"/>
        <v>1542.75</v>
      </c>
      <c r="O6" s="25">
        <f t="shared" si="4"/>
        <v>28.622499999999938</v>
      </c>
      <c r="P6" s="25">
        <f t="shared" si="5"/>
        <v>314.84749999999934</v>
      </c>
      <c r="S6" s="17" t="s">
        <v>67</v>
      </c>
      <c r="T6" s="52">
        <f>MODE(B:B)</f>
        <v>146</v>
      </c>
      <c r="V6" s="17" t="s">
        <v>68</v>
      </c>
      <c r="W6" s="53">
        <f>G32</f>
        <v>147.72727272727272</v>
      </c>
      <c r="Z6" s="54">
        <f>ABS(T6-W6)/T6</f>
        <v>1.1830635118306298E-2</v>
      </c>
      <c r="AA6" s="58" t="s">
        <v>69</v>
      </c>
    </row>
    <row r="7" spans="1:27" ht="45" customHeight="1" thickBot="1" x14ac:dyDescent="0.25">
      <c r="A7" s="1">
        <v>10.53</v>
      </c>
      <c r="B7" s="27">
        <v>143.1</v>
      </c>
      <c r="D7" s="15">
        <f>MIN(B3:B126)</f>
        <v>129.80000000000001</v>
      </c>
      <c r="F7" s="50">
        <v>5</v>
      </c>
      <c r="G7" s="25">
        <f t="shared" si="6"/>
        <v>142</v>
      </c>
      <c r="H7" s="25">
        <f t="shared" si="0"/>
        <v>145.5</v>
      </c>
      <c r="I7" s="26">
        <f t="shared" si="7"/>
        <v>10</v>
      </c>
      <c r="J7" s="25">
        <f t="shared" si="8"/>
        <v>31</v>
      </c>
      <c r="K7" s="25">
        <f t="shared" si="1"/>
        <v>0.14285714285714285</v>
      </c>
      <c r="L7" s="25">
        <f t="shared" si="1"/>
        <v>0.44285714285714284</v>
      </c>
      <c r="M7" s="25">
        <f t="shared" si="2"/>
        <v>143.75</v>
      </c>
      <c r="N7" s="25">
        <f t="shared" si="3"/>
        <v>1437.5</v>
      </c>
      <c r="O7" s="25">
        <f t="shared" si="4"/>
        <v>3.422499999999979</v>
      </c>
      <c r="P7" s="25">
        <f t="shared" si="5"/>
        <v>34.224999999999788</v>
      </c>
      <c r="S7" s="17" t="s">
        <v>70</v>
      </c>
      <c r="T7" s="59">
        <f>(T3-T6)/T4</f>
        <v>-6.7666461814589227E-2</v>
      </c>
      <c r="V7" s="17" t="s">
        <v>70</v>
      </c>
      <c r="W7" s="60">
        <f>(W3-W6)/W4</f>
        <v>-0.34485106768631629</v>
      </c>
      <c r="Z7" s="54"/>
      <c r="AA7" s="58" t="s">
        <v>71</v>
      </c>
    </row>
    <row r="8" spans="1:27" ht="23.25" customHeight="1" thickBot="1" x14ac:dyDescent="0.25">
      <c r="A8" s="1">
        <v>10.54</v>
      </c>
      <c r="B8" s="27">
        <v>133.6</v>
      </c>
      <c r="F8" s="50">
        <v>6</v>
      </c>
      <c r="G8" s="25">
        <f t="shared" si="6"/>
        <v>145.5</v>
      </c>
      <c r="H8" s="25">
        <f t="shared" si="0"/>
        <v>149</v>
      </c>
      <c r="I8" s="61">
        <f t="shared" si="7"/>
        <v>17</v>
      </c>
      <c r="J8" s="25">
        <f t="shared" si="8"/>
        <v>48</v>
      </c>
      <c r="K8" s="25">
        <f t="shared" si="1"/>
        <v>0.24285714285714285</v>
      </c>
      <c r="L8" s="62">
        <f t="shared" si="1"/>
        <v>0.68571428571428572</v>
      </c>
      <c r="M8" s="25">
        <f t="shared" si="2"/>
        <v>147.25</v>
      </c>
      <c r="N8" s="25">
        <f t="shared" si="3"/>
        <v>2503.25</v>
      </c>
      <c r="O8" s="25">
        <f t="shared" si="4"/>
        <v>2.7225000000000188</v>
      </c>
      <c r="P8" s="25">
        <f t="shared" si="5"/>
        <v>46.282500000000319</v>
      </c>
      <c r="S8" s="63" t="s">
        <v>72</v>
      </c>
      <c r="T8" s="64">
        <f>3*(T3-T5)/T4</f>
        <v>-0.37332421227160434</v>
      </c>
      <c r="V8" s="63" t="s">
        <v>72</v>
      </c>
      <c r="W8" s="60">
        <f>3*(W3-W5)/W4</f>
        <v>-0.35187292200571912</v>
      </c>
      <c r="Z8" s="54"/>
      <c r="AA8" s="58" t="s">
        <v>73</v>
      </c>
    </row>
    <row r="9" spans="1:27" ht="12.75" x14ac:dyDescent="0.2">
      <c r="A9" s="1">
        <v>10.54</v>
      </c>
      <c r="B9" s="27">
        <v>141.80000000000001</v>
      </c>
      <c r="D9" s="11" t="s">
        <v>43</v>
      </c>
      <c r="F9" s="50">
        <v>7</v>
      </c>
      <c r="G9" s="25">
        <f t="shared" si="6"/>
        <v>149</v>
      </c>
      <c r="H9" s="25">
        <f t="shared" si="0"/>
        <v>152.5</v>
      </c>
      <c r="I9" s="26">
        <f t="shared" si="7"/>
        <v>13</v>
      </c>
      <c r="J9" s="25">
        <f t="shared" si="8"/>
        <v>61</v>
      </c>
      <c r="K9" s="25">
        <f t="shared" si="1"/>
        <v>0.18571428571428572</v>
      </c>
      <c r="L9" s="25">
        <f t="shared" si="1"/>
        <v>0.87142857142857144</v>
      </c>
      <c r="M9" s="25">
        <f t="shared" si="2"/>
        <v>150.75</v>
      </c>
      <c r="N9" s="25">
        <f t="shared" si="3"/>
        <v>1959.75</v>
      </c>
      <c r="O9" s="25">
        <f t="shared" si="4"/>
        <v>26.522500000000058</v>
      </c>
      <c r="P9" s="25">
        <f t="shared" si="5"/>
        <v>344.79250000000076</v>
      </c>
      <c r="S9" s="65" t="s">
        <v>74</v>
      </c>
      <c r="T9" s="66">
        <f>T4/T3</f>
        <v>4.2344899320210287E-2</v>
      </c>
      <c r="V9" s="63" t="s">
        <v>74</v>
      </c>
      <c r="W9" s="60">
        <f>W4/W3</f>
        <v>4.2367244817926766E-2</v>
      </c>
      <c r="Z9" s="54"/>
      <c r="AA9" s="58" t="s">
        <v>75</v>
      </c>
    </row>
    <row r="10" spans="1:27" ht="12.75" thickBot="1" x14ac:dyDescent="0.25">
      <c r="A10" s="1">
        <v>10.56</v>
      </c>
      <c r="B10" s="27">
        <v>137.5</v>
      </c>
      <c r="D10" s="15">
        <f>MAX(B3:B126)</f>
        <v>158.19999999999999</v>
      </c>
      <c r="F10" s="50">
        <v>8</v>
      </c>
      <c r="G10" s="25">
        <f t="shared" si="6"/>
        <v>152.5</v>
      </c>
      <c r="H10" s="25">
        <f t="shared" si="0"/>
        <v>156</v>
      </c>
      <c r="I10" s="26">
        <f t="shared" si="7"/>
        <v>7</v>
      </c>
      <c r="J10" s="25">
        <f t="shared" si="8"/>
        <v>68</v>
      </c>
      <c r="K10" s="25">
        <f t="shared" si="1"/>
        <v>0.1</v>
      </c>
      <c r="L10" s="25">
        <f t="shared" si="1"/>
        <v>0.97142857142857142</v>
      </c>
      <c r="M10" s="25">
        <f t="shared" si="2"/>
        <v>154.25</v>
      </c>
      <c r="N10" s="25">
        <f t="shared" si="3"/>
        <v>1079.75</v>
      </c>
      <c r="O10" s="25">
        <f t="shared" si="4"/>
        <v>74.822500000000105</v>
      </c>
      <c r="P10" s="25">
        <f t="shared" si="5"/>
        <v>523.75750000000073</v>
      </c>
      <c r="S10" s="17" t="s">
        <v>76</v>
      </c>
      <c r="T10" s="67">
        <f>T3-T4</f>
        <v>139.41816571439435</v>
      </c>
      <c r="U10" s="67">
        <f>T3+T4</f>
        <v>151.74754857132004</v>
      </c>
      <c r="Z10" s="68"/>
      <c r="AA10" s="68"/>
    </row>
    <row r="11" spans="1:27" ht="24.75" thickBot="1" x14ac:dyDescent="0.25">
      <c r="A11" s="1">
        <v>10.56</v>
      </c>
      <c r="B11" s="27">
        <v>154.5</v>
      </c>
      <c r="E11" s="42" t="s">
        <v>52</v>
      </c>
      <c r="F11" s="50">
        <v>9</v>
      </c>
      <c r="G11" s="25">
        <f t="shared" si="6"/>
        <v>156</v>
      </c>
      <c r="H11" s="25">
        <f t="shared" si="0"/>
        <v>159.5</v>
      </c>
      <c r="I11" s="26">
        <f t="shared" si="7"/>
        <v>2</v>
      </c>
      <c r="J11" s="25">
        <f t="shared" si="8"/>
        <v>70</v>
      </c>
      <c r="K11" s="25">
        <f t="shared" si="1"/>
        <v>2.8571428571428571E-2</v>
      </c>
      <c r="L11" s="25">
        <f t="shared" si="1"/>
        <v>1</v>
      </c>
      <c r="M11" s="25">
        <f t="shared" si="2"/>
        <v>157.75</v>
      </c>
      <c r="N11" s="25">
        <f t="shared" si="3"/>
        <v>315.5</v>
      </c>
      <c r="O11" s="25">
        <f t="shared" si="4"/>
        <v>147.62250000000014</v>
      </c>
      <c r="P11" s="25">
        <f t="shared" si="5"/>
        <v>295.24500000000029</v>
      </c>
      <c r="S11" s="17" t="s">
        <v>77</v>
      </c>
      <c r="T11" s="69">
        <f>(COUNTIF(B:B,"&lt;="&amp;U10)-COUNTIF(B:B,"&lt;"&amp;T10))/$D$4</f>
        <v>0.67142857142857137</v>
      </c>
      <c r="U11" s="70"/>
      <c r="Z11" s="68"/>
      <c r="AA11" s="58" t="s">
        <v>78</v>
      </c>
    </row>
    <row r="12" spans="1:27" ht="12.75" thickBot="1" x14ac:dyDescent="0.25">
      <c r="A12" s="1">
        <v>10.56</v>
      </c>
      <c r="B12" s="27">
        <v>148.6</v>
      </c>
      <c r="D12" s="11" t="s">
        <v>1</v>
      </c>
      <c r="E12" s="42"/>
      <c r="F12" s="21"/>
      <c r="M12" s="44" t="s">
        <v>44</v>
      </c>
      <c r="N12" s="13">
        <f>SUM(N3:N11)</f>
        <v>10192</v>
      </c>
      <c r="O12" s="44" t="s">
        <v>24</v>
      </c>
      <c r="P12" s="13">
        <f>SUM(P3:P11)</f>
        <v>2663.6750000000002</v>
      </c>
      <c r="S12" s="17" t="s">
        <v>79</v>
      </c>
      <c r="T12" s="67">
        <f>T3-2*T4</f>
        <v>133.2534742859315</v>
      </c>
      <c r="U12" s="67">
        <f>T3+2*T4</f>
        <v>157.91223999978288</v>
      </c>
      <c r="Z12" s="68"/>
      <c r="AA12" s="68"/>
    </row>
    <row r="13" spans="1:27" ht="24.75" thickBot="1" x14ac:dyDescent="0.25">
      <c r="A13" s="1">
        <v>10.57</v>
      </c>
      <c r="B13" s="27">
        <v>146</v>
      </c>
      <c r="D13" s="15">
        <f>D10-D7</f>
        <v>28.399999999999977</v>
      </c>
      <c r="E13" s="42"/>
      <c r="F13" s="21"/>
      <c r="M13" s="44"/>
      <c r="N13" s="24">
        <f>N12/$D$4</f>
        <v>145.6</v>
      </c>
      <c r="O13" s="44"/>
      <c r="P13" s="33">
        <f>P12/$D$4</f>
        <v>38.052500000000002</v>
      </c>
      <c r="S13" s="17" t="s">
        <v>80</v>
      </c>
      <c r="T13" s="69">
        <f>(COUNTIF(B:B,"&lt;="&amp;U12)-COUNTIF(B:B,"&lt;"&amp;T12))/$D$4</f>
        <v>0.95714285714285718</v>
      </c>
      <c r="U13" s="70"/>
      <c r="Z13" s="68"/>
      <c r="AA13" s="58" t="s">
        <v>81</v>
      </c>
    </row>
    <row r="14" spans="1:27" ht="12.75" customHeight="1" thickBot="1" x14ac:dyDescent="0.25">
      <c r="A14" s="1">
        <v>10.57</v>
      </c>
      <c r="B14" s="27">
        <v>146.5</v>
      </c>
      <c r="E14" s="42"/>
      <c r="F14" s="21"/>
      <c r="O14" s="45" t="s">
        <v>25</v>
      </c>
      <c r="P14" s="24">
        <f>SQRT(P13)</f>
        <v>6.1686708454901371</v>
      </c>
      <c r="S14" s="17" t="s">
        <v>82</v>
      </c>
      <c r="T14" s="70">
        <f>COUNTIF(B:B,"&lt;"&amp;T12)</f>
        <v>2</v>
      </c>
      <c r="U14" s="70"/>
      <c r="Z14" s="68"/>
      <c r="AA14" s="71" t="s">
        <v>83</v>
      </c>
    </row>
    <row r="15" spans="1:27" ht="12.75" thickBot="1" x14ac:dyDescent="0.25">
      <c r="A15" s="1">
        <v>10.58</v>
      </c>
      <c r="B15" s="27">
        <v>136.69999999999999</v>
      </c>
      <c r="D15" s="11" t="s">
        <v>6</v>
      </c>
      <c r="E15" s="42"/>
      <c r="F15" s="21"/>
      <c r="O15" s="45"/>
      <c r="S15" s="17" t="s">
        <v>84</v>
      </c>
      <c r="T15" s="70">
        <f>COUNTIF(B:B,"&gt;"&amp;U12)</f>
        <v>1</v>
      </c>
      <c r="U15" s="70"/>
      <c r="Z15" s="68"/>
      <c r="AA15" s="71"/>
    </row>
    <row r="16" spans="1:27" ht="12.75" thickBot="1" x14ac:dyDescent="0.25">
      <c r="A16" s="1">
        <v>10.58</v>
      </c>
      <c r="B16" s="27">
        <v>146.19999999999999</v>
      </c>
      <c r="D16" s="14">
        <f>SQRT(D4)</f>
        <v>8.3666002653407556</v>
      </c>
      <c r="E16" s="20">
        <v>8</v>
      </c>
    </row>
    <row r="17" spans="1:9" ht="12.75" thickBot="1" x14ac:dyDescent="0.25">
      <c r="A17" s="1">
        <v>10.58</v>
      </c>
      <c r="B17" s="27">
        <v>149.6</v>
      </c>
      <c r="E17" s="12"/>
    </row>
    <row r="18" spans="1:9" x14ac:dyDescent="0.2">
      <c r="A18" s="1">
        <v>10.58</v>
      </c>
      <c r="B18" s="27">
        <v>133</v>
      </c>
      <c r="D18" s="11" t="s">
        <v>9</v>
      </c>
      <c r="E18" s="12"/>
    </row>
    <row r="19" spans="1:9" ht="12.75" thickBot="1" x14ac:dyDescent="0.25">
      <c r="A19" s="1">
        <v>10.61</v>
      </c>
      <c r="B19" s="27">
        <v>151.19999999999999</v>
      </c>
      <c r="D19" s="14">
        <f>D13/E16</f>
        <v>3.5499999999999972</v>
      </c>
      <c r="E19" s="22">
        <v>3.5</v>
      </c>
    </row>
    <row r="20" spans="1:9" ht="12.75" thickBot="1" x14ac:dyDescent="0.25">
      <c r="A20" s="1">
        <v>10.61</v>
      </c>
      <c r="B20" s="27">
        <v>146</v>
      </c>
      <c r="E20" s="12"/>
    </row>
    <row r="21" spans="1:9" x14ac:dyDescent="0.2">
      <c r="A21" s="1">
        <v>10.64</v>
      </c>
      <c r="B21" s="27">
        <v>147</v>
      </c>
      <c r="D21" s="11" t="s">
        <v>12</v>
      </c>
      <c r="E21" s="12"/>
    </row>
    <row r="22" spans="1:9" ht="12.75" thickBot="1" x14ac:dyDescent="0.25">
      <c r="A22" s="1">
        <v>10.64</v>
      </c>
      <c r="B22" s="27">
        <v>143.4</v>
      </c>
      <c r="D22" s="16">
        <f>D7-(E19/2)</f>
        <v>128.05000000000001</v>
      </c>
      <c r="E22" s="23">
        <v>128</v>
      </c>
    </row>
    <row r="23" spans="1:9" x14ac:dyDescent="0.2">
      <c r="A23" s="1">
        <v>10.64</v>
      </c>
      <c r="B23" s="27">
        <v>142</v>
      </c>
    </row>
    <row r="24" spans="1:9" x14ac:dyDescent="0.2">
      <c r="A24" s="1">
        <v>10.64</v>
      </c>
      <c r="B24" s="27">
        <v>147.30000000000001</v>
      </c>
    </row>
    <row r="25" spans="1:9" x14ac:dyDescent="0.2">
      <c r="A25" s="1">
        <v>10.65</v>
      </c>
      <c r="B25" s="27">
        <v>139.5</v>
      </c>
    </row>
    <row r="26" spans="1:9" ht="26.25" customHeight="1" x14ac:dyDescent="0.3">
      <c r="A26" s="1">
        <v>10.65</v>
      </c>
      <c r="B26" s="27">
        <v>137.19999999999999</v>
      </c>
      <c r="E26" t="s">
        <v>85</v>
      </c>
      <c r="G26">
        <v>6</v>
      </c>
      <c r="I26" s="72" t="s">
        <v>86</v>
      </c>
    </row>
    <row r="27" spans="1:9" ht="26.25" customHeight="1" x14ac:dyDescent="0.2">
      <c r="A27" s="1">
        <v>10.67</v>
      </c>
      <c r="B27" s="27">
        <v>146.6</v>
      </c>
      <c r="G27">
        <f>G8</f>
        <v>145.5</v>
      </c>
    </row>
    <row r="28" spans="1:9" ht="26.25" customHeight="1" x14ac:dyDescent="0.2">
      <c r="A28" s="1">
        <v>10.67</v>
      </c>
      <c r="B28" s="27">
        <v>156</v>
      </c>
      <c r="G28" s="50">
        <f>I8</f>
        <v>17</v>
      </c>
    </row>
    <row r="29" spans="1:9" ht="26.25" customHeight="1" x14ac:dyDescent="0.2">
      <c r="A29" s="1">
        <v>10.68</v>
      </c>
      <c r="B29" s="27">
        <v>141.4</v>
      </c>
      <c r="G29" s="50">
        <f>I7</f>
        <v>10</v>
      </c>
    </row>
    <row r="30" spans="1:9" ht="26.25" customHeight="1" x14ac:dyDescent="0.2">
      <c r="A30" s="1">
        <v>10.69</v>
      </c>
      <c r="B30" s="27">
        <v>135.5</v>
      </c>
      <c r="G30" s="50">
        <f>I9</f>
        <v>13</v>
      </c>
    </row>
    <row r="31" spans="1:9" ht="26.25" customHeight="1" x14ac:dyDescent="0.2">
      <c r="A31" s="1">
        <v>10.7</v>
      </c>
      <c r="B31" s="27">
        <v>142.1</v>
      </c>
      <c r="G31">
        <f>E19</f>
        <v>3.5</v>
      </c>
    </row>
    <row r="32" spans="1:9" ht="18" x14ac:dyDescent="0.25">
      <c r="A32" s="1">
        <v>10.71</v>
      </c>
      <c r="B32" s="27">
        <v>142.69999999999999</v>
      </c>
      <c r="F32" s="73" t="s">
        <v>87</v>
      </c>
      <c r="G32">
        <f>G27+G31*(G28-G29)/((G28-G29)+(G28-G30))</f>
        <v>147.72727272727272</v>
      </c>
    </row>
    <row r="33" spans="1:7" x14ac:dyDescent="0.2">
      <c r="A33" s="1">
        <v>10.72</v>
      </c>
      <c r="B33" s="27">
        <v>149.6</v>
      </c>
    </row>
    <row r="34" spans="1:7" x14ac:dyDescent="0.2">
      <c r="A34" s="1">
        <v>10.72</v>
      </c>
      <c r="B34" s="27">
        <v>141.19999999999999</v>
      </c>
    </row>
    <row r="35" spans="1:7" x14ac:dyDescent="0.2">
      <c r="A35" s="1">
        <v>10.73</v>
      </c>
      <c r="B35" s="27">
        <v>139.1</v>
      </c>
    </row>
    <row r="36" spans="1:7" ht="23.25" customHeight="1" x14ac:dyDescent="0.2">
      <c r="A36" s="1">
        <v>10.73</v>
      </c>
      <c r="B36" s="27">
        <v>147.1</v>
      </c>
      <c r="E36" t="s">
        <v>88</v>
      </c>
      <c r="G36">
        <v>6</v>
      </c>
    </row>
    <row r="37" spans="1:7" ht="23.25" customHeight="1" x14ac:dyDescent="0.2">
      <c r="A37" s="1">
        <v>10.73</v>
      </c>
      <c r="B37" s="27">
        <v>140.4</v>
      </c>
      <c r="G37">
        <f>G8</f>
        <v>145.5</v>
      </c>
    </row>
    <row r="38" spans="1:7" ht="23.25" customHeight="1" x14ac:dyDescent="0.2">
      <c r="A38" s="1">
        <v>10.74</v>
      </c>
      <c r="B38" s="27">
        <v>150.4</v>
      </c>
      <c r="G38" s="50">
        <f>I8</f>
        <v>17</v>
      </c>
    </row>
    <row r="39" spans="1:7" ht="23.25" customHeight="1" x14ac:dyDescent="0.2">
      <c r="A39" s="1">
        <v>10.74</v>
      </c>
      <c r="B39" s="27">
        <v>145.30000000000001</v>
      </c>
      <c r="G39">
        <f>J7</f>
        <v>31</v>
      </c>
    </row>
    <row r="40" spans="1:7" ht="23.25" customHeight="1" x14ac:dyDescent="0.2">
      <c r="A40" s="1">
        <v>10.74</v>
      </c>
      <c r="B40" s="27">
        <v>149.9</v>
      </c>
      <c r="G40">
        <f>E19</f>
        <v>3.5</v>
      </c>
    </row>
    <row r="41" spans="1:7" ht="23.25" customHeight="1" x14ac:dyDescent="0.25">
      <c r="A41" s="1">
        <v>10.75</v>
      </c>
      <c r="B41" s="27">
        <v>150.80000000000001</v>
      </c>
      <c r="F41" s="74" t="s">
        <v>89</v>
      </c>
      <c r="G41">
        <f>G37+(D4/2-G39)*G40/G38</f>
        <v>146.3235294117647</v>
      </c>
    </row>
    <row r="42" spans="1:7" x14ac:dyDescent="0.2">
      <c r="A42" s="1">
        <v>10.78</v>
      </c>
      <c r="B42" s="27">
        <v>149.30000000000001</v>
      </c>
    </row>
    <row r="43" spans="1:7" x14ac:dyDescent="0.2">
      <c r="A43" s="1">
        <v>10.78</v>
      </c>
      <c r="B43" s="27">
        <v>150.30000000000001</v>
      </c>
    </row>
    <row r="44" spans="1:7" x14ac:dyDescent="0.2">
      <c r="A44" s="1">
        <v>10.8</v>
      </c>
      <c r="B44" s="27">
        <v>151.80000000000001</v>
      </c>
    </row>
    <row r="45" spans="1:7" x14ac:dyDescent="0.2">
      <c r="A45" s="1">
        <v>10.8</v>
      </c>
      <c r="B45" s="27">
        <v>142.4</v>
      </c>
    </row>
    <row r="46" spans="1:7" x14ac:dyDescent="0.2">
      <c r="A46" s="1">
        <v>10.8</v>
      </c>
      <c r="B46" s="27">
        <v>141.80000000000001</v>
      </c>
    </row>
    <row r="47" spans="1:7" x14ac:dyDescent="0.2">
      <c r="A47" s="1">
        <v>10.81</v>
      </c>
      <c r="B47" s="27">
        <v>157</v>
      </c>
    </row>
    <row r="48" spans="1:7" x14ac:dyDescent="0.2">
      <c r="A48" s="1">
        <v>10.81</v>
      </c>
      <c r="B48" s="27">
        <v>153.1</v>
      </c>
    </row>
    <row r="49" spans="1:2" x14ac:dyDescent="0.2">
      <c r="A49" s="1">
        <v>10.82</v>
      </c>
      <c r="B49" s="27">
        <v>129.80000000000001</v>
      </c>
    </row>
    <row r="50" spans="1:2" x14ac:dyDescent="0.2">
      <c r="A50" s="1">
        <v>10.82</v>
      </c>
      <c r="B50" s="27">
        <v>151.5</v>
      </c>
    </row>
    <row r="51" spans="1:2" x14ac:dyDescent="0.2">
      <c r="A51" s="1">
        <v>10.84</v>
      </c>
      <c r="B51" s="27">
        <v>155.19999999999999</v>
      </c>
    </row>
    <row r="52" spans="1:2" x14ac:dyDescent="0.2">
      <c r="A52" s="1">
        <v>10.86</v>
      </c>
      <c r="B52" s="27">
        <v>152.80000000000001</v>
      </c>
    </row>
    <row r="53" spans="1:2" x14ac:dyDescent="0.2">
      <c r="A53" s="1">
        <v>10.86</v>
      </c>
      <c r="B53" s="27">
        <v>146</v>
      </c>
    </row>
    <row r="54" spans="1:2" x14ac:dyDescent="0.2">
      <c r="A54" s="1">
        <v>10.87</v>
      </c>
      <c r="B54" s="27">
        <v>155.9</v>
      </c>
    </row>
    <row r="55" spans="1:2" x14ac:dyDescent="0.2">
      <c r="A55" s="1">
        <v>10.88</v>
      </c>
      <c r="B55" s="27">
        <v>147.5</v>
      </c>
    </row>
    <row r="56" spans="1:2" x14ac:dyDescent="0.2">
      <c r="A56" s="1">
        <v>10.88</v>
      </c>
      <c r="B56" s="27">
        <v>147.5</v>
      </c>
    </row>
    <row r="57" spans="1:2" x14ac:dyDescent="0.2">
      <c r="A57" s="1">
        <v>10.89</v>
      </c>
      <c r="B57" s="27">
        <v>148.69999999999999</v>
      </c>
    </row>
    <row r="58" spans="1:2" x14ac:dyDescent="0.2">
      <c r="A58" s="1">
        <v>10.89</v>
      </c>
      <c r="B58" s="27">
        <v>146.80000000000001</v>
      </c>
    </row>
    <row r="59" spans="1:2" x14ac:dyDescent="0.2">
      <c r="A59" s="1">
        <v>10.9</v>
      </c>
      <c r="B59" s="27">
        <v>148.69999999999999</v>
      </c>
    </row>
    <row r="60" spans="1:2" x14ac:dyDescent="0.2">
      <c r="A60" s="1">
        <v>10.91</v>
      </c>
      <c r="B60" s="27">
        <v>139.19999999999999</v>
      </c>
    </row>
    <row r="61" spans="1:2" x14ac:dyDescent="0.2">
      <c r="A61" s="1">
        <v>10.91</v>
      </c>
      <c r="B61" s="27">
        <v>137.5</v>
      </c>
    </row>
    <row r="62" spans="1:2" x14ac:dyDescent="0.2">
      <c r="A62" s="1">
        <v>10.92</v>
      </c>
      <c r="B62" s="27">
        <v>150.69999999999999</v>
      </c>
    </row>
    <row r="63" spans="1:2" x14ac:dyDescent="0.2">
      <c r="A63" s="1">
        <v>10.93</v>
      </c>
      <c r="B63" s="27">
        <v>144.80000000000001</v>
      </c>
    </row>
    <row r="64" spans="1:2" x14ac:dyDescent="0.2">
      <c r="A64" s="1">
        <v>10.94</v>
      </c>
      <c r="B64" s="27">
        <v>151.19999999999999</v>
      </c>
    </row>
    <row r="65" spans="1:2" x14ac:dyDescent="0.2">
      <c r="A65" s="1">
        <v>10.95</v>
      </c>
      <c r="B65" s="27">
        <v>143</v>
      </c>
    </row>
    <row r="66" spans="1:2" x14ac:dyDescent="0.2">
      <c r="A66" s="1">
        <v>10.95</v>
      </c>
      <c r="B66" s="27">
        <v>151.1</v>
      </c>
    </row>
    <row r="67" spans="1:2" x14ac:dyDescent="0.2">
      <c r="A67" s="1">
        <v>10.96</v>
      </c>
      <c r="B67" s="27">
        <v>148.69999999999999</v>
      </c>
    </row>
    <row r="68" spans="1:2" x14ac:dyDescent="0.2">
      <c r="A68" s="1">
        <v>10.97</v>
      </c>
      <c r="B68" s="27">
        <v>144</v>
      </c>
    </row>
    <row r="69" spans="1:2" x14ac:dyDescent="0.2">
      <c r="A69" s="1">
        <v>10.97</v>
      </c>
      <c r="B69" s="27">
        <v>152.80000000000001</v>
      </c>
    </row>
    <row r="70" spans="1:2" x14ac:dyDescent="0.2">
      <c r="A70" s="1">
        <v>10.98</v>
      </c>
      <c r="B70" s="27">
        <v>148.5</v>
      </c>
    </row>
    <row r="71" spans="1:2" x14ac:dyDescent="0.2">
      <c r="A71" s="1">
        <v>10.98</v>
      </c>
      <c r="B71" s="27">
        <v>137.4</v>
      </c>
    </row>
    <row r="72" spans="1:2" x14ac:dyDescent="0.2">
      <c r="A72" s="1">
        <v>10.99</v>
      </c>
      <c r="B72" s="27">
        <v>158.19999999999999</v>
      </c>
    </row>
  </sheetData>
  <mergeCells count="10">
    <mergeCell ref="G1:H1"/>
    <mergeCell ref="O1:P1"/>
    <mergeCell ref="S2:T2"/>
    <mergeCell ref="V2:W2"/>
    <mergeCell ref="AA3:AA4"/>
    <mergeCell ref="E11:E15"/>
    <mergeCell ref="M12:M13"/>
    <mergeCell ref="O12:O13"/>
    <mergeCell ref="O14:O15"/>
    <mergeCell ref="AA14:AA15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5CFF-1386-4BC7-90C7-8ABC36C30253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wzory</vt:lpstr>
      <vt:lpstr>przykład-szereg</vt:lpstr>
      <vt:lpstr>przykład- obliczenia paramet</vt:lpstr>
      <vt:lpstr>przykład- mediana i dominanta</vt:lpstr>
      <vt:lpstr>Arkusz1</vt:lpstr>
    </vt:vector>
  </TitlesOfParts>
  <Company>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Bożena Staruch</dc:creator>
  <cp:lastModifiedBy>Bozena Staruch</cp:lastModifiedBy>
  <cp:revision>2</cp:revision>
  <dcterms:created xsi:type="dcterms:W3CDTF">2001-07-02T14:45:32Z</dcterms:created>
  <dcterms:modified xsi:type="dcterms:W3CDTF">2026-03-27T20:32:19Z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